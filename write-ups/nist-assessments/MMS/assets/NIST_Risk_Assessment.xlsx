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Gap Analysis" sheetId="2" r:id="rId6"/>
    <sheet state="visible" name="Risk Register" sheetId="3" r:id="rId7"/>
    <sheet state="visible" name="Scales" sheetId="4" r:id="rId8"/>
  </sheets>
  <definedNames/>
  <calcPr/>
</workbook>
</file>

<file path=xl/sharedStrings.xml><?xml version="1.0" encoding="utf-8"?>
<sst xmlns="http://schemas.openxmlformats.org/spreadsheetml/2006/main" count="337" uniqueCount="244">
  <si>
    <r>
      <rPr>
        <rFont val="Times New Roman"/>
        <b/>
        <color theme="1"/>
        <sz val="16.0"/>
      </rPr>
      <t>Title</t>
    </r>
    <r>
      <rPr>
        <rFont val="Times New Roman"/>
        <color theme="1"/>
        <sz val="16.0"/>
      </rPr>
      <t>: NIST CSF 2.0 Scoped Gap Assessment &amp; Maturity Analysis</t>
    </r>
    <r>
      <rPr>
        <rFont val="Arial"/>
        <color theme="1"/>
      </rPr>
      <t xml:space="preserve">
</t>
    </r>
    <r>
      <rPr>
        <rFont val="Times New Roman"/>
        <b/>
        <color theme="1"/>
        <sz val="14.0"/>
      </rPr>
      <t>Organization</t>
    </r>
    <r>
      <rPr>
        <rFont val="Times New Roman"/>
        <color theme="1"/>
        <sz val="14.0"/>
      </rPr>
      <t xml:space="preserve">: Mavis' Machine Shop (DIB Contract Manufacturer)
</t>
    </r>
    <r>
      <rPr>
        <rFont val="Times New Roman"/>
        <color theme="1"/>
        <sz val="12.0"/>
      </rPr>
      <t xml:space="preserve">Prepared by: Jayden Burrows
Date: 10-18-2026
</t>
    </r>
    <r>
      <rPr>
        <rFont val="Times New Roman"/>
        <color theme="1"/>
        <sz val="14.0"/>
      </rPr>
      <t xml:space="preserve">
</t>
    </r>
    <r>
      <rPr>
        <rFont val="Times New Roman"/>
        <color theme="1"/>
        <sz val="12.0"/>
      </rPr>
      <t xml:space="preserve">Scope Statement: This assessment evaluates Mavis's cybersecurity maturity across the Protect (PR) and Detect (DE) functions of NIST CSF 2.0. Subcategories are cross-mapped to NIST SP 800-171 Rev 2 requirements to support CMMC Level 2 readiness planning.
- 6 subcategories scored 1.0, concentrated in the Detect function
- The Protect function average ~2.7; the Detect function averages ~1.6
- Top 3 risks: Undetected intrusion (R-01), incident misclassification (R-02), MFA gap (R-03)
</t>
    </r>
  </si>
  <si>
    <t>Tier</t>
  </si>
  <si>
    <t>Meaning</t>
  </si>
  <si>
    <t>Function</t>
  </si>
  <si>
    <t>Risk ID</t>
  </si>
  <si>
    <t>Partial: Ad-hoc, informal</t>
  </si>
  <si>
    <t>Risk Informed: Approved processes, but not organization-wide</t>
  </si>
  <si>
    <t>Repeatable: Formally documented, organization-wide policies and standards</t>
  </si>
  <si>
    <t>Adaptive: Continuous improvement, predictive, automated</t>
  </si>
  <si>
    <t>Category</t>
  </si>
  <si>
    <t>Risk Description</t>
  </si>
  <si>
    <t>Subcategory</t>
  </si>
  <si>
    <t>Related Gap(s)</t>
  </si>
  <si>
    <t>NIST SP 800-171 Mapping</t>
  </si>
  <si>
    <t>Current Maturity (0-4)</t>
  </si>
  <si>
    <t>Likelihood</t>
  </si>
  <si>
    <t>Assets Affected</t>
  </si>
  <si>
    <t>Rare: would take unusual circumstances</t>
  </si>
  <si>
    <t>Existing Controls</t>
  </si>
  <si>
    <t>Unlikely</t>
  </si>
  <si>
    <t>Target Maturity (0-4)</t>
  </si>
  <si>
    <t>Likelihood (1-5)</t>
  </si>
  <si>
    <t>Gap (Target - Current)</t>
  </si>
  <si>
    <t>Possible: could occur within a year</t>
  </si>
  <si>
    <t>Impact (1-5)</t>
  </si>
  <si>
    <t>Gap Justification</t>
  </si>
  <si>
    <t>Likely: expected to occur</t>
  </si>
  <si>
    <t>Risk Score</t>
  </si>
  <si>
    <t>Almost certain: already occurring or trivially exploited</t>
  </si>
  <si>
    <t>Risk Rating</t>
  </si>
  <si>
    <t>Mapped SP 800-171 Control</t>
  </si>
  <si>
    <t>Rationale (Inherent)</t>
  </si>
  <si>
    <t>Impact</t>
  </si>
  <si>
    <t>Negligible</t>
  </si>
  <si>
    <t>Recommended Action</t>
  </si>
  <si>
    <t>Minor: limited disruption</t>
  </si>
  <si>
    <t>Target Completion</t>
  </si>
  <si>
    <t>Moderate: some data or production loss</t>
  </si>
  <si>
    <t>Proposed Owner</t>
  </si>
  <si>
    <t>PROTECT (PR)</t>
  </si>
  <si>
    <t>Major: PII or CUI exposure, extended outage</t>
  </si>
  <si>
    <t>Residual Likelihood (1-5)</t>
  </si>
  <si>
    <t>Residual Impact (1-5)</t>
  </si>
  <si>
    <t>Severe: reportable CUI/FCI incident, contract loss, regulatory penalty</t>
  </si>
  <si>
    <t>Residual Score</t>
  </si>
  <si>
    <t>Residual Rating</t>
  </si>
  <si>
    <t>Score (L x I)</t>
  </si>
  <si>
    <t>Rating</t>
  </si>
  <si>
    <t>Rationale (Residual)</t>
  </si>
  <si>
    <t>Identity Management, Authentication, and Access Control (PR.AA): Access to physical and logical assets is limited to authorized users, services, and hardware and managed commensurate with the assessed risk of unauthorized access</t>
  </si>
  <si>
    <t>15-25</t>
  </si>
  <si>
    <t>Critical</t>
  </si>
  <si>
    <t>10-14</t>
  </si>
  <si>
    <t>High</t>
  </si>
  <si>
    <t>5-9</t>
  </si>
  <si>
    <t>Medium</t>
  </si>
  <si>
    <t>1-4</t>
  </si>
  <si>
    <t>Low</t>
  </si>
  <si>
    <t>R-01</t>
  </si>
  <si>
    <t>Incident criteria, severity levels and scoping guidance are undefined in the provided policy, so events may not be declared as incidents or reported within contractual deadlines.</t>
  </si>
  <si>
    <t>DE.AE-02, DE.AE-04, DE.AE-08</t>
  </si>
  <si>
    <t>3.3.5, 3.6.1, 3.6.2, 3.14.3</t>
  </si>
  <si>
    <t>CUI, PII</t>
  </si>
  <si>
    <t>Appropriate staff (e.g. incident response team and DoD incident reporting certificate holders) are assigned to detect and report incidents; a Data Breach Incident Response Plan is also referenced but not provided</t>
  </si>
  <si>
    <t>PR.AA-01: Identities and credentials for authorized users, services, and hardware are managed by the organization</t>
  </si>
  <si>
    <t>MMS manages unique computer accounts for active employees and creates separate accounts for each service requiring an account</t>
  </si>
  <si>
    <t>3.5.1, 3.5.2, 3.5.5</t>
  </si>
  <si>
    <t>Without clear incident criteria, staff could likely be misclassifying events right now. This could be extremely harmful for MMS as staff might not respond appropriately to an event, possibly causing MMS to miss an DoD incident reporting deadline (72 hours) which could be grounds for their contract to be voided.</t>
  </si>
  <si>
    <t>Obtain or write the IR plan with detailed incident definitions, severity matrix, scoping steps and reporting timelines; run a tabletop exercise.</t>
  </si>
  <si>
    <t>30 days</t>
  </si>
  <si>
    <t>Incident Team Lead (Isabella Irving)</t>
  </si>
  <si>
    <t>PR.AA-02: Identities are proofed and bound to credentials based on the context of interactions</t>
  </si>
  <si>
    <t>MMS ensures that employees do not share account login information, requires unique usernames and passwords for individuals and resources accessing any system containing PII, and creates separate accounts based on least privilege</t>
  </si>
  <si>
    <t xml:space="preserve">3.5.1, 3.5.2 </t>
  </si>
  <si>
    <t xml:space="preserve">Defined severity thresholds and a standardized reporting workflow ensure staff recognize and escalate events appropriately. Meeting DoD reporting timelines mitigates contractual penalties and regulatory fines. </t>
  </si>
  <si>
    <t>R-02</t>
  </si>
  <si>
    <t>Authentication of hardware is not documented and MFA is required only for external access, so a stolen credential or rogue device on the internal network could reach sensitive systems.</t>
  </si>
  <si>
    <t>PR.AA-03</t>
  </si>
  <si>
    <t>3.5.2, 3.5.3, 3.5.4</t>
  </si>
  <si>
    <t>PR.AA-03: Users, services, and hardware are authenticated</t>
  </si>
  <si>
    <t>PII, CUI, file servers</t>
  </si>
  <si>
    <t>Unique accounts for each individual, a strong password policy, account lockout after 10 attempts, MFA for remote access</t>
  </si>
  <si>
    <t>MMS policy documents authentication protocols for users and services but not for hardware. Moreover, MMS policy only guarantees MFA usage for accessing the company's internal networks from an external one; MMS policy does not require MFA for securing privileged or other accounts.</t>
  </si>
  <si>
    <t>Credential compromise is likely given that there is nothing preventing employees from sharing passwords, and phishing attacks could also be used to gain employees' credentials.</t>
  </si>
  <si>
    <t xml:space="preserve">Extend MFA to privileged accounts and general network access; document device authentication </t>
  </si>
  <si>
    <t>CIO (Isabella Irving)</t>
  </si>
  <si>
    <t>PR.AA-04: Identity assertions are protected, conveyed, and verified</t>
  </si>
  <si>
    <t>Enforcing MFA on privileged and internal accounts nullifies the impact of stolen credentials and lateral movement. Even if an account is compromised, it becomes more difficult for an attacker to take advantage of it, therefore protecting the core CUI file servers.</t>
  </si>
  <si>
    <t>MMS ensures that employees do not share account login information. Furthermore, MMS enforces strong password requirements and credential protection</t>
  </si>
  <si>
    <t>3.5.4</t>
  </si>
  <si>
    <t>R-03</t>
  </si>
  <si>
    <t>Without a SIEM or centralized log correlation, malicious activity on the network or endpoints may go unnoticed, delaying detection and response and increasing the chance of a reportable breach.</t>
  </si>
  <si>
    <t>PR.PS-04, DE.CM-01, DE.AE-03, DE.AE-06, DE.AE-07</t>
  </si>
  <si>
    <t>3.3.1, 3.3.3, 3.3.5, 3.13.1, 3.14.6</t>
  </si>
  <si>
    <t>PII, CUI, all networked systems</t>
  </si>
  <si>
    <t>Audit logs, firewall IPS, centralized Anti-virus reporting, automated asset inventories</t>
  </si>
  <si>
    <t>PR.AA-05: Access permissions, entitlements, and authorizations are defined in a policy, managed, enforced, and reviewed, and incorporate the principles of least privilege and separation of duties</t>
  </si>
  <si>
    <t>Cybersecurity organizations often estimate that the dwell time (time before a cybersecurity incident is detected) jumps from 14 days when using a SIEM tool to around 6 to 9 months without one. Therefore, it is likely that malicious activity will go unnoticed. If this activity is undetected, lateral movement across the network could result in IP theft or a ransomware event.</t>
  </si>
  <si>
    <t>Least privilege is applied for granting individuals within the company with privileged access; these privileges are also periodically documented</t>
  </si>
  <si>
    <t>3.1.4, 3.1.5, 3.1.6</t>
  </si>
  <si>
    <t>Deploy a SIEM or managed detection service; define log sources, correlation rules and review cadence; add threat-intel feeds.</t>
  </si>
  <si>
    <t>CISO (Candy Crazinowicz)</t>
  </si>
  <si>
    <t>Continuous centralized monitoring and automated alerts improve the visibility of security incidents and tend to drastically reduce the time an attacker can dwell undetected. Faster detection allows the Incident Response team to contain the threat before it reaches critical machinery or CUI.</t>
  </si>
  <si>
    <t>PR.AA-06: Physical access to assets is managed, monitored, and enforced commensurate with risk</t>
  </si>
  <si>
    <t>R-04</t>
  </si>
  <si>
    <t>Patches may take up to 60 days to deploy and configuration baselines are only partly documented, leaving known vulnerabilities exposed.</t>
  </si>
  <si>
    <t>MMS has physical locks protecting stored PII, servers, and other computing equipment, but there is a gap in logging who is accessing these resources</t>
  </si>
  <si>
    <t>PR.PS-02, PR.PS-03</t>
  </si>
  <si>
    <t>3.10.1, 3.10.2, 3.10.4</t>
  </si>
  <si>
    <t>3.4.1, 3.4.2</t>
  </si>
  <si>
    <t>Servers, workstations, CNC and shop-floor systems</t>
  </si>
  <si>
    <t>Patches are reviewed in up to 30 days and deployed in up to 60 days</t>
  </si>
  <si>
    <t>A 60-day window for patching gives a large amount of time for attackers to exploit known vulnerabilities in MMS's environment. If a CNC controller is affected by an unpatched exploit, production could halt for an indeterminate amount of time.</t>
  </si>
  <si>
    <t>Awareness and Training (PR.AT): The organization's personnel are provided with cybersecurity awareness and training so that they can perform their cybersecurity-related tasks</t>
  </si>
  <si>
    <t>Shorten critical-patch Service Level Agreements (modern security standards typically use 24 to 72 hours), formalize change control, and document secure baselines including shop-floor systems.</t>
  </si>
  <si>
    <t>60 days</t>
  </si>
  <si>
    <t>IT System Owner (Emma Ellis)</t>
  </si>
  <si>
    <t xml:space="preserve">A 72-hour critical patch narrows the time between vulnerability disclosure and exploitation. Quick prompt patching prevents attackers from exploiting known vulnerabilities, reducing the likelihood of a production-halting breach. </t>
  </si>
  <si>
    <t>R-05</t>
  </si>
  <si>
    <t>Server rooms lack documented access logging/cameras, meaning an insider or authorized visitor could tamper with hardware without being detected. Physical access bypasses digital controls; tampering or theft of the file server or CUI closet would result in a reportable DoD breach and severe contract penalties.</t>
  </si>
  <si>
    <t>PR.AA-06, PR.DS-10</t>
  </si>
  <si>
    <t>3.10.1, 3.10.2, 3.10.4, 3.1.2, 3.1.3</t>
  </si>
  <si>
    <t>File servers, CNC control server, CUI closet, data center</t>
  </si>
  <si>
    <t xml:space="preserve">Locks secure PII storage and server rooms, proximity card readers, staffed lobby desk, visitor sign-in </t>
  </si>
  <si>
    <t>PR.AT-01: Personnel are provided with awareness and training so that they possess the knowledge and skills to perform general tasks with cybersecurity risks in mind</t>
  </si>
  <si>
    <t>Server rooms lack documented access logging/cameras, meaning an insider or authorized visitor could tamper with hardware without being detected. Physical access bypasses digital controls; tampering or theft of the file server or CUI closet would result in a reportable DoD breach and severe contract penalties</t>
  </si>
  <si>
    <t>Employees only receive training when they initially join the company</t>
  </si>
  <si>
    <t>Log badge access; add cameras at server rooms and entrances</t>
  </si>
  <si>
    <t>3.2.1, 3.2.3</t>
  </si>
  <si>
    <t>Facilities Manager (Frank Fernandez)</t>
  </si>
  <si>
    <t>Badge logging and camera coverage create an audit trail, deterring insider tampering and enabling forensic investigation if tampering were detected. Tampering will also be caught and traced quickly, limiting the scope of data exposure.</t>
  </si>
  <si>
    <t>R-06</t>
  </si>
  <si>
    <t>Backups are tested only annually on a random subset, so restores may fail when needed after ransomware or hardware failure.</t>
  </si>
  <si>
    <t>PR.DS-11</t>
  </si>
  <si>
    <t>3.8.9</t>
  </si>
  <si>
    <t>PR.AT-02: Individuals in specialized roles are provided with awareness and training so that they possess the knowledge and skills to perform relevant tasks with cybersecurity risks in mind</t>
  </si>
  <si>
    <t>Business-critical data, CUI backups</t>
  </si>
  <si>
    <t xml:space="preserve">Encrypted backups replicated between data centers weekly </t>
  </si>
  <si>
    <t>Employees who work with PII are provided additional training, but the written policy does not specify how frequent or extensive this training is</t>
  </si>
  <si>
    <t>3.2.2</t>
  </si>
  <si>
    <t>While backups occur weekly, MMS policy only requires annual testing on a random subset, so a corrupted backup could exist for up to a year before it is discovered.</t>
  </si>
  <si>
    <t>Increase frequency of backup testing to quarterly, testing on full-system and CUI data; document RTO and RPO.</t>
  </si>
  <si>
    <t>Data Security (PR.DS): Data are managed consistent with the organization's risk strategy to protect the confidentiality, integrity, and availability of information</t>
  </si>
  <si>
    <t>Quarterly full-system testing ensures backup corruption is identified within 90 days rather than a year, ensuring that more recent backups are tested and working. Validating RTO and RPO guarantees that the company can restore operations and CUI quickly after hardware fails or a ransomware event occurs.</t>
  </si>
  <si>
    <t>R-07</t>
  </si>
  <si>
    <t>MMS sets encryption exceptions via compensating controls, with no FIPS-validated requirement, which could leave data readable if storage or traffic is intercepted.</t>
  </si>
  <si>
    <t>PR.DS-01, PR.DS-02</t>
  </si>
  <si>
    <t>3.13.8, 3.13.16</t>
  </si>
  <si>
    <t>PII, CUI</t>
  </si>
  <si>
    <t>Encryption is used where it's feasible, the CISO approves exceptions and reports them annually; TLS 1.3 is used on documented paths</t>
  </si>
  <si>
    <t>PR.DS-01: The confidentiality, integrity, and availability of data-at-rest are protected</t>
  </si>
  <si>
    <t xml:space="preserve">It is unlikely for attackers to exploit the lack of encryption for CISO-approved exceptions unless the attacker specifically targets the unencrypted stores. If unencrypted CUI is stolen, it is a reportable breach to the DoD which could possibly result in termination of the contract based on the contents. </t>
  </si>
  <si>
    <t>Require FIPS-validated encryption for all CUI at rest and in transit; restrict or eliminate exceptions; inventory any unencrypted stores.</t>
  </si>
  <si>
    <t>Data at rest is encrypted whenever feasible. However, the company uses compensating controls reviewed and approved by the CISO. These controls are then documented and included in the CISO's annual report.</t>
  </si>
  <si>
    <t>3.13.16</t>
  </si>
  <si>
    <t xml:space="preserve">Requiring FIPS-validated ecryption and eliminating exceptions makes it highly unlikely that CUI is intercepted in an unencrypted in an unencrypted state. If encrypted data is stolen, it is unreadable without its key, and therefore, the impact is limited to the cost of incident response and potential reputation friction. However, this incident would not consititute a reportable data breach. </t>
  </si>
  <si>
    <t>PR.DS-02: The confidentiality, integrity, and availability of data-in-transit are protected</t>
  </si>
  <si>
    <t>R-08</t>
  </si>
  <si>
    <t>Asset inventory reviews can be delayed by up to six months, so unauthorized devices or end-of-life software may persist as no technical control blocks unapproved installs.</t>
  </si>
  <si>
    <t>3.14.1, 3.7.1, 3.4.1</t>
  </si>
  <si>
    <t>All endpoints and servers, including MSP-managed assets</t>
  </si>
  <si>
    <t>Automated asset inventories with alerts to CISO</t>
  </si>
  <si>
    <t>Data in transit is encrypted whenever the CISO determines that it is feasible. However, when it is not, the company relies on compensating controls reviewed and approved by the CISO which are documented and included in the CISO's annual report. The company also monitors information moving within and outside the company's network whenever possible.</t>
  </si>
  <si>
    <t>3.13.8</t>
  </si>
  <si>
    <t>The lack of technical controls to ensure only approved software is installed could result in unauthorized software remaining in the environment for months. However, while unauthorized software being used in the organization's environment increases their attack surface, it does not necessarily guarantee that a breach will occur.</t>
  </si>
  <si>
    <t>Shorten period between asset inventory review to monthly; enforce application white-listing and remove local admin rights; track EOL dates.</t>
  </si>
  <si>
    <t>90 days</t>
  </si>
  <si>
    <t>Monthly reviews and application whitelisting make it difficult for unauthorized software to be and remain installed, reducing the attack surface and lowering the overall risk to endpoints.</t>
  </si>
  <si>
    <t>R-09</t>
  </si>
  <si>
    <t>Environmental protections (HVAC, power backup, fire, water) and capacity planning are undocumented, so a facility event could cause extended outages or data loss.</t>
  </si>
  <si>
    <t>PR.IR-02, PR.IR-03, PR.IR-04</t>
  </si>
  <si>
    <t>N/A</t>
  </si>
  <si>
    <t>Servers, data center, CUI closet, production systems</t>
  </si>
  <si>
    <t xml:space="preserve">Replicated backups and a BC/DR plan requirement that was not provided </t>
  </si>
  <si>
    <t>PR.DS-10: The confidentiality, integrity, and availability of data-in-use are protected</t>
  </si>
  <si>
    <t>Environmental issues are not daily incidents, but they could occur. If one were to happen, and the server room or CNC floor were to lose power or cooling for an extended period, then production would be forced to halt.</t>
  </si>
  <si>
    <t>Obtain the BC/DR plan; document environmental controls and UPS; add capacity planning and failover testing.</t>
  </si>
  <si>
    <t>The official information security policy includes policy to ensure that access to data is secured to authorized individuals in the company, but there are no policies documenting in-use monitoring.</t>
  </si>
  <si>
    <t>Documented environmental controls and UPS reduce the likelihood of a facility outage. A BC/DR plan ensures CNC operations can failover to backup capacity, limiting downtime (Note, the given policy references a BC/DR plan, but no evidence of it was provided).</t>
  </si>
  <si>
    <t>3.1.2, 3.1.3</t>
  </si>
  <si>
    <t>PR.DS-11: Backups of data are created, protected, maintained, and tested</t>
  </si>
  <si>
    <t>Data is backed up weekly using encryption whenever possible. However, the company can wait up to one year before testing that backups are working, and the company does so by only testing that a random subset of information can be restored.</t>
  </si>
  <si>
    <t>Platform Security (PR.PS): The hardware, software (e.g., firmware, operating systems, applications), and services of physical and virtual platforms are managed consistent with the organization's risk strategy to protect their confidentiality, integrity, and availability</t>
  </si>
  <si>
    <t>PR.PS-01: Configuration management practices are established and applied</t>
  </si>
  <si>
    <t>The company reviews and approves/rejects patches up to 30 days after their release and deploys approved patches up to 60 days after their release.</t>
  </si>
  <si>
    <t>PR.PS-02: Software is maintained, replaced, and removed commensurate with risk</t>
  </si>
  <si>
    <t>Asset inventories are automatically set up to notify leadership of changes all changes to the environment, including unauthorized software discovered. However, policy allows the CISO to take up to six months to review asset inventories to ensure that EOS or EOL software has been removed from the Information Systems environment or appropriately quarantined. Moreover, this same process also applies to ensuring that only approved software is in the Information Systems environment.</t>
  </si>
  <si>
    <t>3.14.1</t>
  </si>
  <si>
    <t>PR.PS-03: Hardware is maintained, replaced, and removed commensurate with risk</t>
  </si>
  <si>
    <t>Asset inventories are automatically set up to notify leadership of changes all changes to the environment, including unauthorized devices discovered. However, policy allows leadership to take up to 6 months to review asset inventories, leaving long periods where EOS/EOL or unauthorized devices can remain in the Information Systems environment.</t>
  </si>
  <si>
    <t>3.7.1, 3.4.1</t>
  </si>
  <si>
    <t>PR.PS-04: Log records are generated and made available for continuous monitoring</t>
  </si>
  <si>
    <t>MMS uses audit logs alongside an active IPS but lacks a SIEM for continuous and centralized monitoring.</t>
  </si>
  <si>
    <t>3.3.1, 3.3.3</t>
  </si>
  <si>
    <t>PR.PS-05: Installation and execution of unauthorized software are prevented</t>
  </si>
  <si>
    <t xml:space="preserve">Policy dictates that software must be approved by the CISO and recorded in the asset inventory, but written policy does not confirm any technical controls enforcing those policies. </t>
  </si>
  <si>
    <t>3.4.7, 3.4.8, 3.4.9</t>
  </si>
  <si>
    <t>PR.PS-06: Secure software development practices are integrated, and their performance is monitored throughout the software development life cycle</t>
  </si>
  <si>
    <t>Technology Infrastructure Resilience (PR.IR): Security architectures are managed with the organization's risk strategy to protect asset confidentiality, integrity, and availability, and organizational resilience</t>
  </si>
  <si>
    <t>PR.IR-01: Networks and environments are protected from unauthorized logical access and usage</t>
  </si>
  <si>
    <t>Network segmentation, firewalls, and an IPS are deployed to monitor network traffic and prevent attackers from moving laterally across the network.</t>
  </si>
  <si>
    <t>3.13.1</t>
  </si>
  <si>
    <t>PR.IR-02: The organization's technology assets are protected from environmental threats</t>
  </si>
  <si>
    <t>Backup data is replicated across company data centers. Additionally, MMS seems to have a Business Continuity and Disaster Recovery Plan for major disasters. However, their given policies do not describe any environmental controls such as HVAC or or power backups.</t>
  </si>
  <si>
    <t xml:space="preserve">No direct Rev 2 requirement </t>
  </si>
  <si>
    <t>PR.IR-03: Mechanisms are implemented to achieve resilience requirements in normal and adverse situations</t>
  </si>
  <si>
    <t>System redundancy and failover mechanisms are undocumented in the security policy. MMS seems to have a Business Continuity and Disaster Recovery Plan for major disasters. However, this was not provided, so no environmental safeguards are documented.</t>
  </si>
  <si>
    <t>No direct Rev 2 requirement</t>
  </si>
  <si>
    <t>PR.IR-04: Adequate resource capacity to ensure availability is maintained</t>
  </si>
  <si>
    <t>Backup data is replicated across company data centers, but controls for guaranteeing resource capacity are not formally documented.</t>
  </si>
  <si>
    <t>DETECT (DE)</t>
  </si>
  <si>
    <t>Continuous Monitoring (DE.CM): Assets are monitored to find anomalies, indicators of compromise, and other potentially adverse events</t>
  </si>
  <si>
    <t>DE.CM-01: Networks and network services are monitored to find potentially adverse events</t>
  </si>
  <si>
    <t>MMS has an IPS system in place to monitor network traffic, and appropriate staff will prompty take action and report back to the CISO. Further clarification on playbooks and reporting channels is needed.</t>
  </si>
  <si>
    <t>3.13.1, 3.14.6</t>
  </si>
  <si>
    <t>DE.CM-02: The physical environment is monitored to find potentially adverse events</t>
  </si>
  <si>
    <t>Physical locks are placed to restrict access to PII, but other physical controls such as cameras and guards are missing.</t>
  </si>
  <si>
    <t>3.10.2, 3.10.3</t>
  </si>
  <si>
    <t>DE.CM-03: Personnel activity and technology usage are monitored to find potentially adverse events</t>
  </si>
  <si>
    <t>MMS tracks user accounts but does not seem to monitor employees' usage of technology, or when they do, it is often infrequent</t>
  </si>
  <si>
    <t>3.3.1, 3.3.2, 3.3.3</t>
  </si>
  <si>
    <t>DE.CM-06: External service provider activities and services are monitored to find potentially adverse events</t>
  </si>
  <si>
    <t>Appropriate staff are placed to enforce third-party vendor risk policies; however, MMS lacks documentation regarding the frequency and intensity of monitoring vendors.</t>
  </si>
  <si>
    <t>3.12.1, 3.1.20</t>
  </si>
  <si>
    <t>DE.CM-09: Computing hardware and software, runtime environments, and their data are monitored to find potentially adverse events</t>
  </si>
  <si>
    <t xml:space="preserve">Anti-virus/anti-malware agents run on company-owned computers and report to a central server that is reviewed regularly. However, the frequency of anti-virus scans and human review is not mentioned. </t>
  </si>
  <si>
    <t>3.14.5, 3.14.7, 3.4.9</t>
  </si>
  <si>
    <t>Adverse Event Analysis (DE.AE): Anomalies, indicators of compromise, and other potentially adverse events are analyzed to characterize the events and detect cybersecurity incidents</t>
  </si>
  <si>
    <t>DE.AE-02: Potentially adverse events are analyzed to better understand associated activities</t>
  </si>
  <si>
    <t>Incident response plans exist but are not provided. There are no event analysis or anoomaly thresholds documented within the given security policy.</t>
  </si>
  <si>
    <t>3.3.5, 3.6.1, 3.14.3</t>
  </si>
  <si>
    <t>DE.AE-03: Information is correlated from multiple sources</t>
  </si>
  <si>
    <t>The provided policy does not mention correlating the gathered information from multiple different sources.</t>
  </si>
  <si>
    <t>3.3.5</t>
  </si>
  <si>
    <t>DE.AE-04: The estimated impact and scope of adverse events are understood</t>
  </si>
  <si>
    <t>The given policy does not provide any documented guidelines for evaluating the scope of an adverse event.</t>
  </si>
  <si>
    <t>3.6.1, 3.6.2</t>
  </si>
  <si>
    <t>DE.AE-06: Information on adverse events is provided to authorized staff and tools</t>
  </si>
  <si>
    <t>MMS utilized some automated reporting mechanisms such as Anti-Virus reporting, automated asset inventory alerts, and network anomaly reporting. However, MMS still lacks a standardized and centralized reporting workflow across their information sources.</t>
  </si>
  <si>
    <t>3.6.2, 3.14.3</t>
  </si>
  <si>
    <t>DE.AE-07: Cyber threat intelligence and other contextual information are integrated into the analysis</t>
  </si>
  <si>
    <t>MMS lacks documented procedures for involving cyber threat intelligence in their log analysis</t>
  </si>
  <si>
    <t>DE.AE-08: Incidents are declared when adverse events meet the defined incident criteria</t>
  </si>
  <si>
    <t>MMS's given policy lacks threshold definitions for when adverse events qualify as cybersecurity incidents and for defining the severity of these incidents.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</si>
</sst>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sz val="12.0"/>
      <color theme="1"/>
      <name val="Times New Roman"/>
    </font>
    <font>
      <sz val="12.0"/>
      <color theme="1"/>
      <name val="Times New Roman"/>
    </font>
    <font>
      <b/>
      <color theme="1"/>
      <name val="Arial"/>
      <scheme val="minor"/>
    </font>
    <font>
      <b/>
      <sz val="12.0"/>
      <color rgb="FF000000"/>
      <name val="Times New Roman"/>
    </font>
    <font>
      <sz val="12.0"/>
      <color rgb="FF000000"/>
      <name val="Times New Roman"/>
    </font>
  </fonts>
  <fills count="11">
    <fill>
      <patternFill patternType="none"/>
    </fill>
    <fill>
      <patternFill patternType="lightGray"/>
    </fill>
    <fill>
      <patternFill patternType="solid">
        <fgColor rgb="FF9292EA"/>
        <bgColor rgb="FF9292EA"/>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6FA8DC"/>
        <bgColor rgb="FF6FA8DC"/>
      </patternFill>
    </fill>
    <fill>
      <patternFill patternType="solid">
        <fgColor rgb="FFFAB746"/>
        <bgColor rgb="FFFAB746"/>
      </patternFill>
    </fill>
    <fill>
      <patternFill patternType="solid">
        <fgColor rgb="FFFCE5CD"/>
        <bgColor rgb="FFFCE5CD"/>
      </patternFill>
    </fill>
    <fill>
      <patternFill patternType="solid">
        <fgColor rgb="FFF9CA9A"/>
        <bgColor rgb="FFF9CA9A"/>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wrapText="1"/>
    </xf>
    <xf borderId="0" fillId="0" fontId="3" numFmtId="0" xfId="0" applyAlignment="1" applyFont="1">
      <alignment shrinkToFit="0" wrapText="1"/>
    </xf>
    <xf borderId="1" fillId="0" fontId="3" numFmtId="0" xfId="0" applyAlignment="1" applyBorder="1" applyFont="1">
      <alignment readingOrder="0"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center" wrapText="1"/>
    </xf>
    <xf borderId="0" fillId="0" fontId="2" numFmtId="0" xfId="0" applyAlignment="1" applyFont="1">
      <alignment readingOrder="0" shrinkToFit="0" wrapText="1"/>
    </xf>
    <xf borderId="0" fillId="0" fontId="2" numFmtId="0" xfId="0" applyAlignment="1" applyFont="1">
      <alignment horizontal="left" readingOrder="0" shrinkToFit="0" vertical="bottom" wrapText="0"/>
    </xf>
    <xf borderId="0" fillId="0" fontId="4" numFmtId="0" xfId="0" applyAlignment="1" applyFont="1">
      <alignment shrinkToFit="0" wrapText="0"/>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1" fillId="2" fontId="5" numFmtId="0" xfId="0" applyAlignment="1" applyBorder="1" applyFill="1" applyFont="1">
      <alignment readingOrder="0" shrinkToFit="0" vertical="top" wrapText="0"/>
    </xf>
    <xf quotePrefix="1" borderId="1" fillId="0" fontId="3" numFmtId="0" xfId="0" applyAlignment="1" applyBorder="1" applyFont="1">
      <alignment readingOrder="0" shrinkToFit="0" wrapText="1"/>
    </xf>
    <xf borderId="1" fillId="3" fontId="5" numFmtId="0" xfId="0" applyAlignment="1" applyBorder="1" applyFill="1" applyFont="1">
      <alignment horizontal="left" readingOrder="0" shrinkToFit="0" vertical="top" wrapText="0"/>
    </xf>
    <xf borderId="0" fillId="4" fontId="4" numFmtId="0" xfId="0" applyAlignment="1" applyFill="1" applyFont="1">
      <alignment shrinkToFit="0" wrapText="1"/>
    </xf>
    <xf borderId="0" fillId="5" fontId="5" numFmtId="0" xfId="0" applyAlignment="1" applyFill="1" applyFont="1">
      <alignment horizontal="left" readingOrder="0" shrinkToFit="0" vertical="top" wrapText="0"/>
    </xf>
    <xf borderId="0" fillId="5" fontId="6" numFmtId="0" xfId="0" applyAlignment="1" applyFill="1" applyFont="1">
      <alignment readingOrder="0" shrinkToFit="0" vertical="bottom" wrapText="0"/>
    </xf>
    <xf borderId="0" fillId="6" fontId="3" numFmtId="0" xfId="0" applyAlignment="1" applyFill="1" applyFont="1">
      <alignment horizontal="left" readingOrder="0" shrinkToFit="0" vertical="center" wrapText="1"/>
    </xf>
    <xf borderId="0" fillId="5" fontId="3" numFmtId="0" xfId="0" applyAlignment="1" applyFill="1" applyFont="1">
      <alignment readingOrder="0" shrinkToFit="0" vertical="bottom" wrapText="0"/>
    </xf>
    <xf borderId="0" fillId="4" fontId="3" numFmtId="0" xfId="0" applyAlignment="1" applyFill="1" applyFont="1">
      <alignment horizontal="left" readingOrder="0" shrinkToFit="0" vertical="center" wrapText="1"/>
    </xf>
    <xf borderId="0" fillId="5" fontId="6" numFmtId="0" xfId="0" applyAlignment="1" applyFill="1" applyFont="1">
      <alignment readingOrder="0" shrinkToFit="0" vertical="top" wrapText="0"/>
    </xf>
    <xf borderId="0" fillId="5" fontId="3" numFmtId="0" xfId="0" applyAlignment="1" applyFill="1" applyFont="1">
      <alignment readingOrder="0" shrinkToFit="0" vertical="top" wrapText="0"/>
    </xf>
    <xf borderId="0" fillId="0" fontId="1" numFmtId="0" xfId="0" applyAlignment="1" applyFont="1">
      <alignment shrinkToFit="0" wrapText="0"/>
    </xf>
    <xf borderId="0" fillId="4" fontId="3" numFmtId="0" xfId="0" applyAlignment="1" applyFill="1" applyFont="1">
      <alignment horizontal="left" readingOrder="0" shrinkToFit="0" vertical="center" wrapText="1"/>
    </xf>
    <xf borderId="0" fillId="6" fontId="3" numFmtId="0" xfId="0" applyAlignment="1" applyFill="1" applyFont="1">
      <alignment horizontal="left" readingOrder="0" shrinkToFit="0" vertical="center" wrapText="1"/>
    </xf>
    <xf borderId="1" fillId="5" fontId="5" numFmtId="0" xfId="0" applyAlignment="1" applyBorder="1" applyFill="1" applyFont="1">
      <alignment horizontal="left" readingOrder="0" shrinkToFit="0" vertical="top" wrapText="0"/>
    </xf>
    <xf borderId="0" fillId="4" fontId="3" numFmtId="0" xfId="0" applyAlignment="1" applyFill="1" applyFont="1">
      <alignment horizontal="left" shrinkToFit="0" vertical="center" wrapText="1"/>
    </xf>
    <xf borderId="0" fillId="4" fontId="1" numFmtId="0" xfId="0" applyAlignment="1" applyFill="1" applyFont="1">
      <alignment shrinkToFit="0" wrapText="1"/>
    </xf>
    <xf borderId="0" fillId="6" fontId="3" numFmtId="0" xfId="0" applyAlignment="1" applyFill="1" applyFont="1">
      <alignment horizontal="left" readingOrder="0" shrinkToFit="0" vertical="top" wrapText="1"/>
    </xf>
    <xf borderId="0" fillId="6" fontId="3" numFmtId="0" xfId="0" applyAlignment="1" applyFill="1" applyFont="1">
      <alignment horizontal="left" shrinkToFit="0" vertical="center" wrapText="1"/>
    </xf>
    <xf borderId="0" fillId="6" fontId="1" numFmtId="0" xfId="0" applyAlignment="1" applyFill="1" applyFont="1">
      <alignment shrinkToFit="0" wrapText="1"/>
    </xf>
    <xf borderId="1" fillId="7" fontId="5" numFmtId="0" xfId="0" applyAlignment="1" applyBorder="1" applyFill="1" applyFont="1">
      <alignment horizontal="left" readingOrder="0" shrinkToFit="0" vertical="top" wrapText="0"/>
    </xf>
    <xf borderId="2" fillId="5" fontId="6" numFmtId="0" xfId="0" applyAlignment="1" applyBorder="1" applyFill="1" applyFont="1">
      <alignment shrinkToFit="0" vertical="bottom" wrapText="0"/>
    </xf>
    <xf borderId="0" fillId="5" fontId="6" numFmtId="0" xfId="0" applyAlignment="1" applyFill="1" applyFont="1">
      <alignment shrinkToFit="0" vertical="bottom" wrapText="0"/>
    </xf>
    <xf borderId="0" fillId="5" fontId="6" numFmtId="0" xfId="0" applyAlignment="1" applyFill="1" applyFont="1">
      <alignment shrinkToFit="0" vertical="bottom" wrapText="0"/>
    </xf>
    <xf borderId="0" fillId="4" fontId="3" numFmtId="0" xfId="0" applyAlignment="1" applyFill="1" applyFont="1">
      <alignment horizontal="left" readingOrder="0" shrinkToFit="0" vertical="top" wrapText="1"/>
    </xf>
    <xf borderId="0" fillId="0" fontId="3" numFmtId="0" xfId="0" applyAlignment="1" applyFont="1">
      <alignment horizontal="left" readingOrder="0" shrinkToFit="0" vertical="center" wrapText="1"/>
    </xf>
    <xf borderId="0" fillId="5" fontId="6" numFmtId="0" xfId="0" applyAlignment="1" applyFill="1" applyFont="1">
      <alignment readingOrder="0" shrinkToFit="0" vertical="bottom" wrapText="0"/>
    </xf>
    <xf borderId="0" fillId="5" fontId="3" numFmtId="0" xfId="0" applyAlignment="1" applyFill="1" applyFont="1">
      <alignment shrinkToFit="0" vertical="bottom" wrapText="0"/>
    </xf>
    <xf borderId="1" fillId="8" fontId="5" numFmtId="0" xfId="0" applyAlignment="1" applyBorder="1" applyFill="1" applyFont="1">
      <alignment readingOrder="0" shrinkToFit="0" vertical="top" wrapText="0"/>
    </xf>
    <xf borderId="1" fillId="9" fontId="5" numFmtId="0" xfId="0" applyAlignment="1" applyBorder="1" applyFill="1" applyFont="1">
      <alignment horizontal="left" readingOrder="0" shrinkToFit="0" vertical="top" wrapText="0"/>
    </xf>
    <xf borderId="1" fillId="10" fontId="5" numFmtId="0" xfId="0" applyAlignment="1" applyBorder="1" applyFill="1" applyFont="1">
      <alignment horizontal="left" readingOrder="0" shrinkToFit="0" vertical="top" wrapText="0"/>
    </xf>
    <xf borderId="0" fillId="8" fontId="5" numFmtId="0" xfId="0" applyAlignment="1" applyFill="1" applyFont="1">
      <alignment readingOrder="0" shrinkToFit="0" vertical="top" wrapText="0"/>
    </xf>
    <xf borderId="0" fillId="10" fontId="5" numFmtId="0" xfId="0" applyAlignment="1" applyFill="1" applyFont="1">
      <alignment horizontal="left" readingOrder="0" shrinkToFit="0" vertical="top" wrapText="0"/>
    </xf>
    <xf borderId="0" fillId="5" fontId="5" numFmtId="0" xfId="0" applyAlignment="1" applyFill="1" applyFont="1">
      <alignment horizontal="left" readingOrder="0" shrinkToFit="0" vertical="top" wrapText="0"/>
    </xf>
    <xf borderId="0" fillId="5" fontId="6" numFmtId="0" xfId="0" applyAlignment="1" applyFill="1" applyFont="1">
      <alignment readingOrder="0" shrinkToFit="0" vertical="bottom" wrapText="0"/>
    </xf>
    <xf borderId="0" fillId="5" fontId="3" numFmtId="0" xfId="0" applyAlignment="1" applyFill="1" applyFont="1">
      <alignment readingOrder="0" shrinkToFit="0" vertical="bottom" wrapText="0"/>
    </xf>
    <xf borderId="0" fillId="5" fontId="6" numFmtId="0" xfId="0" applyAlignment="1" applyFill="1" applyFont="1">
      <alignment readingOrder="0" shrinkToFit="0" vertical="top" wrapText="0"/>
    </xf>
    <xf borderId="0" fillId="0" fontId="1"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s>
  <tableStyles count="2">
    <tableStyle count="4" pivot="0" name="Gap Analysis-style">
      <tableStyleElement dxfId="1" type="headerRow"/>
      <tableStyleElement dxfId="2" type="firstRowStripe"/>
      <tableStyleElement dxfId="3" type="secondRowStripe"/>
      <tableStyleElement dxfId="4" size="0" type="wholeTable"/>
    </tableStyle>
    <tableStyle count="4" pivot="0" name="Risk Regis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2" displayName="Table1" name="Table1" id="1">
  <tableColumns count="8">
    <tableColumn name="Function" id="1"/>
    <tableColumn name="Category" id="2"/>
    <tableColumn name="Subcategory" id="3"/>
    <tableColumn name="Current Maturity (0-4)" id="4"/>
    <tableColumn name="Target Maturity (0-4)" id="5"/>
    <tableColumn name="Gap (Target - Current)" id="6"/>
    <tableColumn name="Gap Justification" id="7"/>
    <tableColumn name="Mapped SP 800-171 Control" id="8"/>
  </tableColumns>
  <tableStyleInfo name="Gap Analysis-style" showColumnStripes="0" showFirstColumn="1" showLastColumn="1" showRowStripes="1"/>
</table>
</file>

<file path=xl/tables/table2.xml><?xml version="1.0" encoding="utf-8"?>
<table xmlns="http://schemas.openxmlformats.org/spreadsheetml/2006/main" ref="A1:S10" displayName="Table2" name="Table2" id="2">
  <tableColumns count="19">
    <tableColumn name="Risk ID" id="1"/>
    <tableColumn name="Risk Description" id="2"/>
    <tableColumn name="Related Gap(s)" id="3"/>
    <tableColumn name="NIST SP 800-171 Mapping" id="4"/>
    <tableColumn name="Assets Affected" id="5"/>
    <tableColumn name="Existing Controls" id="6"/>
    <tableColumn name="Likelihood (1-5)" id="7"/>
    <tableColumn name="Impact (1-5)" id="8"/>
    <tableColumn name="Risk Score" id="9"/>
    <tableColumn name="Risk Rating" id="10"/>
    <tableColumn name="Rationale (Inherent)" id="11"/>
    <tableColumn name="Recommended Action" id="12"/>
    <tableColumn name="Target Completion" id="13"/>
    <tableColumn name="Proposed Owner" id="14"/>
    <tableColumn name="Residual Likelihood (1-5)" id="15"/>
    <tableColumn name="Residual Impact (1-5)" id="16"/>
    <tableColumn name="Residual Score" id="17"/>
    <tableColumn name="Residual Rating" id="18"/>
    <tableColumn name="Rationale (Residual)" id="19"/>
  </tableColumns>
  <tableStyleInfo name="Risk Regi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0</v>
      </c>
    </row>
  </sheetData>
  <mergeCells count="1">
    <mergeCell ref="A1:G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3" width="37.63"/>
    <col customWidth="1" min="4" max="4" width="26.25"/>
    <col customWidth="1" min="5" max="5" width="25.25"/>
    <col customWidth="1" min="6" max="6" width="26.88"/>
    <col customWidth="1" min="7" max="7" width="37.63"/>
    <col customWidth="1" min="8" max="8" width="31.88"/>
  </cols>
  <sheetData>
    <row r="1" ht="22.5" customHeight="1">
      <c r="A1" s="5" t="s">
        <v>3</v>
      </c>
      <c r="B1" s="5" t="s">
        <v>9</v>
      </c>
      <c r="C1" s="5" t="s">
        <v>11</v>
      </c>
      <c r="D1" s="8" t="s">
        <v>14</v>
      </c>
      <c r="E1" s="8" t="s">
        <v>20</v>
      </c>
      <c r="F1" s="8" t="s">
        <v>22</v>
      </c>
      <c r="G1" s="8" t="s">
        <v>25</v>
      </c>
      <c r="H1" s="8" t="s">
        <v>30</v>
      </c>
      <c r="I1" s="9"/>
      <c r="J1" s="9"/>
      <c r="K1" s="9"/>
      <c r="L1" s="9"/>
      <c r="M1" s="9"/>
      <c r="N1" s="9"/>
      <c r="O1" s="9"/>
      <c r="P1" s="9"/>
      <c r="Q1" s="9"/>
      <c r="R1" s="9"/>
      <c r="S1" s="9"/>
      <c r="T1" s="9"/>
      <c r="U1" s="9"/>
      <c r="V1" s="9"/>
      <c r="W1" s="9"/>
      <c r="X1" s="9"/>
      <c r="Y1" s="9"/>
    </row>
    <row r="2" ht="22.5" customHeight="1">
      <c r="A2" s="12" t="s">
        <v>39</v>
      </c>
      <c r="B2" s="14" t="s">
        <v>49</v>
      </c>
      <c r="C2" s="16"/>
      <c r="D2" s="17"/>
      <c r="E2" s="17"/>
      <c r="F2" s="19"/>
      <c r="G2" s="21"/>
      <c r="H2" s="22"/>
      <c r="I2" s="23"/>
      <c r="J2" s="23"/>
      <c r="K2" s="23"/>
      <c r="L2" s="23"/>
      <c r="M2" s="23"/>
      <c r="N2" s="23"/>
      <c r="O2" s="23"/>
      <c r="P2" s="23"/>
      <c r="Q2" s="23"/>
      <c r="R2" s="23"/>
      <c r="S2" s="23"/>
      <c r="T2" s="23"/>
      <c r="U2" s="23"/>
      <c r="V2" s="23"/>
      <c r="W2" s="23"/>
      <c r="X2" s="23"/>
      <c r="Y2" s="23"/>
    </row>
    <row r="3" ht="22.5" customHeight="1">
      <c r="A3" s="12" t="s">
        <v>39</v>
      </c>
      <c r="B3" s="14" t="s">
        <v>49</v>
      </c>
      <c r="C3" s="26" t="s">
        <v>64</v>
      </c>
      <c r="D3" s="17">
        <v>4.0</v>
      </c>
      <c r="E3" s="17">
        <v>4.0</v>
      </c>
      <c r="F3" s="19">
        <v>0.0</v>
      </c>
      <c r="G3" s="21" t="s">
        <v>65</v>
      </c>
      <c r="H3" s="21" t="s">
        <v>66</v>
      </c>
      <c r="I3" s="23"/>
      <c r="J3" s="23"/>
      <c r="K3" s="23"/>
      <c r="L3" s="23"/>
      <c r="M3" s="23"/>
      <c r="N3" s="23"/>
      <c r="O3" s="23"/>
      <c r="P3" s="23"/>
      <c r="Q3" s="23"/>
      <c r="R3" s="23"/>
      <c r="S3" s="23"/>
      <c r="T3" s="23"/>
      <c r="U3" s="23"/>
      <c r="V3" s="23"/>
      <c r="W3" s="23"/>
      <c r="X3" s="23"/>
      <c r="Y3" s="23"/>
    </row>
    <row r="4" ht="22.5" customHeight="1">
      <c r="A4" s="12" t="s">
        <v>39</v>
      </c>
      <c r="B4" s="14" t="s">
        <v>49</v>
      </c>
      <c r="C4" s="26" t="s">
        <v>71</v>
      </c>
      <c r="D4" s="17">
        <v>4.0</v>
      </c>
      <c r="E4" s="17">
        <v>4.0</v>
      </c>
      <c r="F4" s="19">
        <v>0.0</v>
      </c>
      <c r="G4" s="21" t="s">
        <v>72</v>
      </c>
      <c r="H4" s="21" t="s">
        <v>73</v>
      </c>
      <c r="I4" s="23"/>
      <c r="J4" s="23"/>
      <c r="K4" s="23"/>
      <c r="L4" s="23"/>
      <c r="M4" s="23"/>
      <c r="N4" s="23"/>
      <c r="O4" s="23"/>
      <c r="P4" s="23"/>
      <c r="Q4" s="23"/>
      <c r="R4" s="23"/>
      <c r="S4" s="23"/>
      <c r="T4" s="23"/>
      <c r="U4" s="23"/>
      <c r="V4" s="23"/>
      <c r="W4" s="23"/>
      <c r="X4" s="23"/>
      <c r="Y4" s="23"/>
    </row>
    <row r="5" ht="22.5" customHeight="1">
      <c r="A5" s="12" t="s">
        <v>39</v>
      </c>
      <c r="B5" s="14" t="s">
        <v>49</v>
      </c>
      <c r="C5" s="26" t="s">
        <v>79</v>
      </c>
      <c r="D5" s="17">
        <v>2.0</v>
      </c>
      <c r="E5" s="17">
        <v>4.0</v>
      </c>
      <c r="F5" s="19">
        <v>2.0</v>
      </c>
      <c r="G5" s="21" t="s">
        <v>82</v>
      </c>
      <c r="H5" s="21" t="s">
        <v>78</v>
      </c>
      <c r="I5" s="23"/>
      <c r="J5" s="23"/>
      <c r="K5" s="23"/>
      <c r="L5" s="23"/>
      <c r="M5" s="23"/>
      <c r="N5" s="23"/>
      <c r="O5" s="23"/>
      <c r="P5" s="23"/>
      <c r="Q5" s="23"/>
      <c r="R5" s="23"/>
      <c r="S5" s="23"/>
      <c r="T5" s="23"/>
      <c r="U5" s="23"/>
      <c r="V5" s="23"/>
      <c r="W5" s="23"/>
      <c r="X5" s="23"/>
      <c r="Y5" s="23"/>
    </row>
    <row r="6" ht="22.5" customHeight="1">
      <c r="A6" s="12" t="s">
        <v>39</v>
      </c>
      <c r="B6" s="14" t="s">
        <v>49</v>
      </c>
      <c r="C6" s="26" t="s">
        <v>86</v>
      </c>
      <c r="D6" s="17">
        <v>4.0</v>
      </c>
      <c r="E6" s="17">
        <v>4.0</v>
      </c>
      <c r="F6" s="19">
        <v>0.0</v>
      </c>
      <c r="G6" s="21" t="s">
        <v>88</v>
      </c>
      <c r="H6" s="21" t="s">
        <v>89</v>
      </c>
      <c r="I6" s="23"/>
      <c r="J6" s="23"/>
      <c r="K6" s="23"/>
      <c r="L6" s="23"/>
      <c r="M6" s="23"/>
      <c r="N6" s="23"/>
      <c r="O6" s="23"/>
      <c r="P6" s="23"/>
      <c r="Q6" s="23"/>
      <c r="R6" s="23"/>
      <c r="S6" s="23"/>
      <c r="T6" s="23"/>
      <c r="U6" s="23"/>
      <c r="V6" s="23"/>
      <c r="W6" s="23"/>
      <c r="X6" s="23"/>
      <c r="Y6" s="23"/>
    </row>
    <row r="7" ht="22.5" customHeight="1">
      <c r="A7" s="12" t="s">
        <v>39</v>
      </c>
      <c r="B7" s="14" t="s">
        <v>49</v>
      </c>
      <c r="C7" s="26" t="s">
        <v>96</v>
      </c>
      <c r="D7" s="17">
        <v>4.0</v>
      </c>
      <c r="E7" s="17">
        <v>4.0</v>
      </c>
      <c r="F7" s="19">
        <v>0.0</v>
      </c>
      <c r="G7" s="21" t="s">
        <v>98</v>
      </c>
      <c r="H7" s="21" t="s">
        <v>99</v>
      </c>
      <c r="I7" s="23"/>
      <c r="J7" s="23"/>
      <c r="K7" s="23"/>
      <c r="L7" s="23"/>
      <c r="M7" s="23"/>
      <c r="N7" s="23"/>
      <c r="O7" s="23"/>
      <c r="P7" s="23"/>
      <c r="Q7" s="23"/>
      <c r="R7" s="23"/>
      <c r="S7" s="23"/>
      <c r="T7" s="23"/>
      <c r="U7" s="23"/>
      <c r="V7" s="23"/>
      <c r="W7" s="23"/>
      <c r="X7" s="23"/>
      <c r="Y7" s="23"/>
    </row>
    <row r="8" ht="22.5" customHeight="1">
      <c r="A8" s="12" t="s">
        <v>39</v>
      </c>
      <c r="B8" s="14" t="s">
        <v>49</v>
      </c>
      <c r="C8" s="26" t="s">
        <v>103</v>
      </c>
      <c r="D8" s="17">
        <v>2.0</v>
      </c>
      <c r="E8" s="17">
        <v>4.0</v>
      </c>
      <c r="F8" s="19">
        <v>2.0</v>
      </c>
      <c r="G8" s="21" t="s">
        <v>106</v>
      </c>
      <c r="H8" s="21" t="s">
        <v>108</v>
      </c>
      <c r="I8" s="23"/>
      <c r="J8" s="23"/>
      <c r="K8" s="23"/>
      <c r="L8" s="23"/>
      <c r="M8" s="23"/>
      <c r="N8" s="23"/>
      <c r="O8" s="23"/>
      <c r="P8" s="23"/>
      <c r="Q8" s="23"/>
      <c r="R8" s="23"/>
      <c r="S8" s="23"/>
      <c r="T8" s="23"/>
      <c r="U8" s="23"/>
      <c r="V8" s="23"/>
      <c r="W8" s="23"/>
      <c r="X8" s="23"/>
      <c r="Y8" s="23"/>
    </row>
    <row r="9" ht="22.5" customHeight="1">
      <c r="A9" s="12" t="s">
        <v>39</v>
      </c>
      <c r="B9" s="32" t="s">
        <v>113</v>
      </c>
      <c r="C9" s="33"/>
      <c r="D9" s="34"/>
      <c r="E9" s="34"/>
      <c r="F9" s="34"/>
      <c r="G9" s="35"/>
      <c r="H9" s="35"/>
      <c r="I9" s="23"/>
      <c r="J9" s="23"/>
      <c r="K9" s="23"/>
      <c r="L9" s="23"/>
      <c r="M9" s="23"/>
      <c r="N9" s="23"/>
      <c r="O9" s="23"/>
      <c r="P9" s="23"/>
      <c r="Q9" s="23"/>
      <c r="R9" s="23"/>
      <c r="S9" s="23"/>
      <c r="T9" s="23"/>
      <c r="U9" s="23"/>
      <c r="V9" s="23"/>
      <c r="W9" s="23"/>
      <c r="X9" s="23"/>
      <c r="Y9" s="23"/>
    </row>
    <row r="10" ht="22.5" customHeight="1">
      <c r="A10" s="12" t="s">
        <v>39</v>
      </c>
      <c r="B10" s="32" t="s">
        <v>113</v>
      </c>
      <c r="C10" s="26" t="s">
        <v>124</v>
      </c>
      <c r="D10" s="17">
        <v>3.0</v>
      </c>
      <c r="E10" s="17">
        <v>3.0</v>
      </c>
      <c r="F10" s="19">
        <v>0.0</v>
      </c>
      <c r="G10" s="21" t="s">
        <v>126</v>
      </c>
      <c r="H10" s="21" t="s">
        <v>128</v>
      </c>
      <c r="I10" s="23"/>
      <c r="J10" s="23"/>
      <c r="K10" s="23"/>
      <c r="L10" s="23"/>
      <c r="M10" s="23"/>
      <c r="N10" s="23"/>
      <c r="O10" s="23"/>
      <c r="P10" s="23"/>
      <c r="Q10" s="23"/>
      <c r="R10" s="23"/>
      <c r="S10" s="23"/>
      <c r="T10" s="23"/>
      <c r="U10" s="23"/>
      <c r="V10" s="23"/>
      <c r="W10" s="23"/>
      <c r="X10" s="23"/>
      <c r="Y10" s="23"/>
    </row>
    <row r="11" ht="22.5" customHeight="1">
      <c r="A11" s="12" t="s">
        <v>39</v>
      </c>
      <c r="B11" s="32" t="s">
        <v>113</v>
      </c>
      <c r="C11" s="26" t="s">
        <v>135</v>
      </c>
      <c r="D11" s="17">
        <v>3.0</v>
      </c>
      <c r="E11" s="17">
        <v>3.0</v>
      </c>
      <c r="F11" s="19">
        <v>0.0</v>
      </c>
      <c r="G11" s="21" t="s">
        <v>138</v>
      </c>
      <c r="H11" s="21" t="s">
        <v>139</v>
      </c>
      <c r="I11" s="23"/>
      <c r="J11" s="23"/>
      <c r="K11" s="23"/>
      <c r="L11" s="23"/>
      <c r="M11" s="23"/>
      <c r="N11" s="23"/>
      <c r="O11" s="23"/>
      <c r="P11" s="23"/>
      <c r="Q11" s="23"/>
      <c r="R11" s="23"/>
      <c r="S11" s="23"/>
      <c r="T11" s="23"/>
      <c r="U11" s="23"/>
      <c r="V11" s="23"/>
      <c r="W11" s="23"/>
      <c r="X11" s="23"/>
      <c r="Y11" s="23"/>
    </row>
    <row r="12" ht="22.5" customHeight="1">
      <c r="A12" s="12" t="s">
        <v>39</v>
      </c>
      <c r="B12" s="14" t="s">
        <v>142</v>
      </c>
      <c r="C12" s="33"/>
      <c r="D12" s="34"/>
      <c r="E12" s="34"/>
      <c r="F12" s="34"/>
      <c r="G12" s="35"/>
      <c r="H12" s="35"/>
      <c r="I12" s="23"/>
      <c r="J12" s="23"/>
      <c r="K12" s="23"/>
      <c r="L12" s="23"/>
      <c r="M12" s="23"/>
      <c r="N12" s="23"/>
      <c r="O12" s="23"/>
      <c r="P12" s="23"/>
      <c r="Q12" s="23"/>
      <c r="R12" s="23"/>
      <c r="S12" s="23"/>
      <c r="T12" s="23"/>
      <c r="U12" s="23"/>
      <c r="V12" s="23"/>
      <c r="W12" s="23"/>
      <c r="X12" s="23"/>
      <c r="Y12" s="23"/>
    </row>
    <row r="13" ht="22.5" customHeight="1">
      <c r="A13" s="12" t="s">
        <v>39</v>
      </c>
      <c r="B13" s="14" t="s">
        <v>142</v>
      </c>
      <c r="C13" s="26" t="s">
        <v>150</v>
      </c>
      <c r="D13" s="17">
        <v>3.0</v>
      </c>
      <c r="E13" s="17">
        <v>4.0</v>
      </c>
      <c r="F13" s="19">
        <v>1.0</v>
      </c>
      <c r="G13" s="21" t="s">
        <v>153</v>
      </c>
      <c r="H13" s="21" t="s">
        <v>154</v>
      </c>
      <c r="I13" s="23"/>
      <c r="J13" s="23"/>
      <c r="K13" s="23"/>
      <c r="L13" s="23"/>
      <c r="M13" s="23"/>
      <c r="N13" s="23"/>
      <c r="O13" s="23"/>
      <c r="P13" s="23"/>
      <c r="Q13" s="23"/>
      <c r="R13" s="23"/>
      <c r="S13" s="23"/>
      <c r="T13" s="23"/>
      <c r="U13" s="23"/>
      <c r="V13" s="23"/>
      <c r="W13" s="23"/>
      <c r="X13" s="23"/>
      <c r="Y13" s="23"/>
    </row>
    <row r="14" ht="22.5" customHeight="1">
      <c r="A14" s="12" t="s">
        <v>39</v>
      </c>
      <c r="B14" s="14" t="s">
        <v>142</v>
      </c>
      <c r="C14" s="26" t="s">
        <v>156</v>
      </c>
      <c r="D14" s="17">
        <v>3.0</v>
      </c>
      <c r="E14" s="17">
        <v>4.0</v>
      </c>
      <c r="F14" s="19">
        <v>1.0</v>
      </c>
      <c r="G14" s="21" t="s">
        <v>162</v>
      </c>
      <c r="H14" s="21" t="s">
        <v>163</v>
      </c>
      <c r="I14" s="23"/>
      <c r="J14" s="23"/>
      <c r="K14" s="23"/>
      <c r="L14" s="23"/>
      <c r="M14" s="23"/>
      <c r="N14" s="23"/>
      <c r="O14" s="23"/>
      <c r="P14" s="23"/>
      <c r="Q14" s="23"/>
      <c r="R14" s="23"/>
      <c r="S14" s="23"/>
      <c r="T14" s="23"/>
      <c r="U14" s="23"/>
      <c r="V14" s="23"/>
      <c r="W14" s="23"/>
      <c r="X14" s="23"/>
      <c r="Y14" s="23"/>
    </row>
    <row r="15" ht="22.5" customHeight="1">
      <c r="A15" s="12" t="s">
        <v>39</v>
      </c>
      <c r="B15" s="14" t="s">
        <v>142</v>
      </c>
      <c r="C15" s="26" t="s">
        <v>174</v>
      </c>
      <c r="D15" s="17">
        <v>2.0</v>
      </c>
      <c r="E15" s="17">
        <v>4.0</v>
      </c>
      <c r="F15" s="19">
        <v>2.0</v>
      </c>
      <c r="G15" s="21" t="s">
        <v>177</v>
      </c>
      <c r="H15" s="21" t="s">
        <v>179</v>
      </c>
      <c r="I15" s="23"/>
      <c r="J15" s="23"/>
      <c r="K15" s="23"/>
      <c r="L15" s="23"/>
      <c r="M15" s="23"/>
      <c r="N15" s="23"/>
      <c r="O15" s="23"/>
      <c r="P15" s="23"/>
      <c r="Q15" s="23"/>
      <c r="R15" s="23"/>
      <c r="S15" s="23"/>
      <c r="T15" s="23"/>
      <c r="U15" s="23"/>
      <c r="V15" s="23"/>
      <c r="W15" s="23"/>
      <c r="X15" s="23"/>
      <c r="Y15" s="23"/>
    </row>
    <row r="16" ht="22.5" customHeight="1">
      <c r="A16" s="12" t="s">
        <v>39</v>
      </c>
      <c r="B16" s="14" t="s">
        <v>142</v>
      </c>
      <c r="C16" s="26" t="s">
        <v>180</v>
      </c>
      <c r="D16" s="17">
        <v>2.0</v>
      </c>
      <c r="E16" s="17">
        <v>4.0</v>
      </c>
      <c r="F16" s="19">
        <v>2.0</v>
      </c>
      <c r="G16" s="21" t="s">
        <v>181</v>
      </c>
      <c r="H16" s="21" t="s">
        <v>134</v>
      </c>
      <c r="I16" s="23"/>
      <c r="J16" s="23"/>
      <c r="K16" s="23"/>
      <c r="L16" s="23"/>
      <c r="M16" s="23"/>
      <c r="N16" s="23"/>
      <c r="O16" s="23"/>
      <c r="P16" s="23"/>
      <c r="Q16" s="23"/>
      <c r="R16" s="23"/>
      <c r="S16" s="23"/>
      <c r="T16" s="23"/>
      <c r="U16" s="23"/>
      <c r="V16" s="23"/>
      <c r="W16" s="23"/>
      <c r="X16" s="23"/>
      <c r="Y16" s="23"/>
    </row>
    <row r="17" ht="22.5" customHeight="1">
      <c r="A17" s="12" t="s">
        <v>39</v>
      </c>
      <c r="B17" s="32" t="s">
        <v>182</v>
      </c>
      <c r="C17" s="33"/>
      <c r="D17" s="34"/>
      <c r="E17" s="34"/>
      <c r="F17" s="34"/>
      <c r="G17" s="35"/>
      <c r="H17" s="35"/>
      <c r="I17" s="23"/>
      <c r="J17" s="23"/>
      <c r="K17" s="23"/>
      <c r="L17" s="23"/>
      <c r="M17" s="23"/>
      <c r="N17" s="23"/>
      <c r="O17" s="23"/>
      <c r="P17" s="23"/>
      <c r="Q17" s="23"/>
      <c r="R17" s="23"/>
      <c r="S17" s="23"/>
      <c r="T17" s="23"/>
      <c r="U17" s="23"/>
      <c r="V17" s="23"/>
      <c r="W17" s="23"/>
      <c r="X17" s="23"/>
      <c r="Y17" s="23"/>
    </row>
    <row r="18" ht="22.5" customHeight="1">
      <c r="A18" s="12" t="s">
        <v>39</v>
      </c>
      <c r="B18" s="32" t="s">
        <v>182</v>
      </c>
      <c r="C18" s="26" t="s">
        <v>183</v>
      </c>
      <c r="D18" s="17">
        <v>2.0</v>
      </c>
      <c r="E18" s="17">
        <v>3.0</v>
      </c>
      <c r="F18" s="19">
        <v>1.0</v>
      </c>
      <c r="G18" s="21" t="s">
        <v>184</v>
      </c>
      <c r="H18" s="21" t="s">
        <v>109</v>
      </c>
      <c r="I18" s="23"/>
      <c r="J18" s="23"/>
      <c r="K18" s="23"/>
      <c r="L18" s="23"/>
      <c r="M18" s="23"/>
      <c r="N18" s="23"/>
      <c r="O18" s="23"/>
      <c r="P18" s="23"/>
      <c r="Q18" s="23"/>
      <c r="R18" s="23"/>
      <c r="S18" s="23"/>
      <c r="T18" s="23"/>
      <c r="U18" s="23"/>
      <c r="V18" s="23"/>
      <c r="W18" s="23"/>
      <c r="X18" s="23"/>
      <c r="Y18" s="23"/>
    </row>
    <row r="19" ht="22.5" customHeight="1">
      <c r="A19" s="12" t="s">
        <v>39</v>
      </c>
      <c r="B19" s="32" t="s">
        <v>182</v>
      </c>
      <c r="C19" s="26" t="s">
        <v>185</v>
      </c>
      <c r="D19" s="17">
        <v>2.0</v>
      </c>
      <c r="E19" s="17">
        <v>3.0</v>
      </c>
      <c r="F19" s="19">
        <v>1.0</v>
      </c>
      <c r="G19" s="21" t="s">
        <v>186</v>
      </c>
      <c r="H19" s="21" t="s">
        <v>187</v>
      </c>
      <c r="I19" s="23"/>
      <c r="J19" s="23"/>
      <c r="K19" s="23"/>
      <c r="L19" s="23"/>
      <c r="M19" s="23"/>
      <c r="N19" s="23"/>
      <c r="O19" s="23"/>
      <c r="P19" s="23"/>
      <c r="Q19" s="23"/>
      <c r="R19" s="23"/>
      <c r="S19" s="23"/>
      <c r="T19" s="23"/>
      <c r="U19" s="23"/>
      <c r="V19" s="23"/>
      <c r="W19" s="23"/>
      <c r="X19" s="23"/>
      <c r="Y19" s="23"/>
    </row>
    <row r="20" ht="22.5" customHeight="1">
      <c r="A20" s="12" t="s">
        <v>39</v>
      </c>
      <c r="B20" s="32" t="s">
        <v>182</v>
      </c>
      <c r="C20" s="26" t="s">
        <v>188</v>
      </c>
      <c r="D20" s="17">
        <v>2.0</v>
      </c>
      <c r="E20" s="17">
        <v>3.0</v>
      </c>
      <c r="F20" s="19">
        <v>1.0</v>
      </c>
      <c r="G20" s="21" t="s">
        <v>189</v>
      </c>
      <c r="H20" s="21" t="s">
        <v>190</v>
      </c>
      <c r="I20" s="23"/>
      <c r="J20" s="23"/>
      <c r="K20" s="23"/>
      <c r="L20" s="23"/>
      <c r="M20" s="23"/>
      <c r="N20" s="23"/>
      <c r="O20" s="23"/>
      <c r="P20" s="23"/>
      <c r="Q20" s="23"/>
      <c r="R20" s="23"/>
      <c r="S20" s="23"/>
      <c r="T20" s="23"/>
      <c r="U20" s="23"/>
      <c r="V20" s="23"/>
      <c r="W20" s="23"/>
      <c r="X20" s="23"/>
      <c r="Y20" s="23"/>
    </row>
    <row r="21" ht="22.5" customHeight="1">
      <c r="A21" s="12" t="s">
        <v>39</v>
      </c>
      <c r="B21" s="32" t="s">
        <v>182</v>
      </c>
      <c r="C21" s="26" t="s">
        <v>191</v>
      </c>
      <c r="D21" s="17">
        <v>2.0</v>
      </c>
      <c r="E21" s="17">
        <v>3.0</v>
      </c>
      <c r="F21" s="19">
        <v>1.0</v>
      </c>
      <c r="G21" s="21" t="s">
        <v>192</v>
      </c>
      <c r="H21" s="21" t="s">
        <v>193</v>
      </c>
      <c r="I21" s="23"/>
      <c r="J21" s="23"/>
      <c r="K21" s="23"/>
      <c r="L21" s="23"/>
      <c r="M21" s="23"/>
      <c r="N21" s="23"/>
      <c r="O21" s="23"/>
      <c r="P21" s="23"/>
      <c r="Q21" s="23"/>
      <c r="R21" s="23"/>
      <c r="S21" s="23"/>
      <c r="T21" s="23"/>
      <c r="U21" s="23"/>
      <c r="V21" s="23"/>
      <c r="W21" s="23"/>
      <c r="X21" s="23"/>
      <c r="Y21" s="23"/>
    </row>
    <row r="22" ht="22.5" customHeight="1">
      <c r="A22" s="12" t="s">
        <v>39</v>
      </c>
      <c r="B22" s="32" t="s">
        <v>182</v>
      </c>
      <c r="C22" s="26" t="s">
        <v>194</v>
      </c>
      <c r="D22" s="17">
        <v>2.0</v>
      </c>
      <c r="E22" s="17">
        <v>3.0</v>
      </c>
      <c r="F22" s="19">
        <v>1.0</v>
      </c>
      <c r="G22" s="21" t="s">
        <v>195</v>
      </c>
      <c r="H22" s="21" t="s">
        <v>196</v>
      </c>
      <c r="I22" s="23"/>
      <c r="J22" s="23"/>
      <c r="K22" s="23"/>
      <c r="L22" s="23"/>
      <c r="M22" s="23"/>
      <c r="N22" s="23"/>
      <c r="O22" s="23"/>
      <c r="P22" s="23"/>
      <c r="Q22" s="23"/>
      <c r="R22" s="23"/>
      <c r="S22" s="23"/>
      <c r="T22" s="23"/>
      <c r="U22" s="23"/>
      <c r="V22" s="23"/>
      <c r="W22" s="23"/>
      <c r="X22" s="23"/>
      <c r="Y22" s="23"/>
    </row>
    <row r="23" ht="22.5" customHeight="1">
      <c r="A23" s="12" t="s">
        <v>39</v>
      </c>
      <c r="B23" s="32" t="s">
        <v>182</v>
      </c>
      <c r="C23" s="26" t="s">
        <v>197</v>
      </c>
      <c r="D23" s="38" t="s">
        <v>171</v>
      </c>
      <c r="E23" s="38" t="s">
        <v>171</v>
      </c>
      <c r="F23" s="39"/>
      <c r="G23" s="21" t="s">
        <v>171</v>
      </c>
      <c r="H23" s="21"/>
      <c r="I23" s="23"/>
      <c r="J23" s="23"/>
      <c r="K23" s="23"/>
      <c r="L23" s="23"/>
      <c r="M23" s="23"/>
      <c r="N23" s="23"/>
      <c r="O23" s="23"/>
      <c r="P23" s="23"/>
      <c r="Q23" s="23"/>
      <c r="R23" s="23"/>
      <c r="S23" s="23"/>
      <c r="T23" s="23"/>
      <c r="U23" s="23"/>
      <c r="V23" s="23"/>
      <c r="W23" s="23"/>
      <c r="X23" s="23"/>
      <c r="Y23" s="23"/>
    </row>
    <row r="24" ht="22.5" customHeight="1">
      <c r="A24" s="12" t="s">
        <v>39</v>
      </c>
      <c r="B24" s="14" t="s">
        <v>198</v>
      </c>
      <c r="C24" s="33"/>
      <c r="D24" s="34"/>
      <c r="E24" s="34"/>
      <c r="F24" s="34"/>
      <c r="G24" s="35"/>
      <c r="H24" s="35"/>
      <c r="I24" s="23"/>
      <c r="J24" s="23"/>
      <c r="K24" s="23"/>
      <c r="L24" s="23"/>
      <c r="M24" s="23"/>
      <c r="N24" s="23"/>
      <c r="O24" s="23"/>
      <c r="P24" s="23"/>
      <c r="Q24" s="23"/>
      <c r="R24" s="23"/>
      <c r="S24" s="23"/>
      <c r="T24" s="23"/>
      <c r="U24" s="23"/>
      <c r="V24" s="23"/>
      <c r="W24" s="23"/>
      <c r="X24" s="23"/>
      <c r="Y24" s="23"/>
    </row>
    <row r="25" ht="22.5" customHeight="1">
      <c r="A25" s="12" t="s">
        <v>39</v>
      </c>
      <c r="B25" s="14" t="s">
        <v>198</v>
      </c>
      <c r="C25" s="26" t="s">
        <v>199</v>
      </c>
      <c r="D25" s="17">
        <v>4.0</v>
      </c>
      <c r="E25" s="17">
        <v>4.0</v>
      </c>
      <c r="F25" s="19">
        <v>0.0</v>
      </c>
      <c r="G25" s="21" t="s">
        <v>200</v>
      </c>
      <c r="H25" s="21" t="s">
        <v>201</v>
      </c>
      <c r="I25" s="23"/>
      <c r="J25" s="23"/>
      <c r="K25" s="23"/>
      <c r="L25" s="23"/>
      <c r="M25" s="23"/>
      <c r="N25" s="23"/>
      <c r="O25" s="23"/>
      <c r="P25" s="23"/>
      <c r="Q25" s="23"/>
      <c r="R25" s="23"/>
      <c r="S25" s="23"/>
      <c r="T25" s="23"/>
      <c r="U25" s="23"/>
      <c r="V25" s="23"/>
      <c r="W25" s="23"/>
      <c r="X25" s="23"/>
      <c r="Y25" s="23"/>
    </row>
    <row r="26" ht="22.5" customHeight="1">
      <c r="A26" s="12" t="s">
        <v>39</v>
      </c>
      <c r="B26" s="14" t="s">
        <v>198</v>
      </c>
      <c r="C26" s="26" t="s">
        <v>202</v>
      </c>
      <c r="D26" s="17">
        <v>2.0</v>
      </c>
      <c r="E26" s="17">
        <v>3.0</v>
      </c>
      <c r="F26" s="19">
        <v>1.0</v>
      </c>
      <c r="G26" s="21" t="s">
        <v>203</v>
      </c>
      <c r="H26" s="21" t="s">
        <v>204</v>
      </c>
      <c r="I26" s="23"/>
      <c r="J26" s="23"/>
      <c r="K26" s="23"/>
      <c r="L26" s="23"/>
      <c r="M26" s="23"/>
      <c r="N26" s="23"/>
      <c r="O26" s="23"/>
      <c r="P26" s="23"/>
      <c r="Q26" s="23"/>
      <c r="R26" s="23"/>
      <c r="S26" s="23"/>
      <c r="T26" s="23"/>
      <c r="U26" s="23"/>
      <c r="V26" s="23"/>
      <c r="W26" s="23"/>
      <c r="X26" s="23"/>
      <c r="Y26" s="23"/>
    </row>
    <row r="27" ht="22.5" customHeight="1">
      <c r="A27" s="12" t="s">
        <v>39</v>
      </c>
      <c r="B27" s="14" t="s">
        <v>198</v>
      </c>
      <c r="C27" s="26" t="s">
        <v>205</v>
      </c>
      <c r="D27" s="17">
        <v>2.0</v>
      </c>
      <c r="E27" s="17">
        <v>3.0</v>
      </c>
      <c r="F27" s="19">
        <v>1.0</v>
      </c>
      <c r="G27" s="21" t="s">
        <v>206</v>
      </c>
      <c r="H27" s="21" t="s">
        <v>207</v>
      </c>
      <c r="I27" s="23"/>
      <c r="J27" s="23"/>
      <c r="K27" s="23"/>
      <c r="L27" s="23"/>
      <c r="M27" s="23"/>
      <c r="N27" s="23"/>
      <c r="O27" s="23"/>
      <c r="P27" s="23"/>
      <c r="Q27" s="23"/>
      <c r="R27" s="23"/>
      <c r="S27" s="23"/>
      <c r="T27" s="23"/>
      <c r="U27" s="23"/>
      <c r="V27" s="23"/>
      <c r="W27" s="23"/>
      <c r="X27" s="23"/>
      <c r="Y27" s="23"/>
    </row>
    <row r="28" ht="22.5" customHeight="1">
      <c r="A28" s="12" t="s">
        <v>39</v>
      </c>
      <c r="B28" s="14" t="s">
        <v>198</v>
      </c>
      <c r="C28" s="26" t="s">
        <v>208</v>
      </c>
      <c r="D28" s="17">
        <v>2.0</v>
      </c>
      <c r="E28" s="19">
        <v>3.0</v>
      </c>
      <c r="F28" s="19">
        <v>1.0</v>
      </c>
      <c r="G28" s="21" t="s">
        <v>209</v>
      </c>
      <c r="H28" s="21" t="s">
        <v>207</v>
      </c>
      <c r="I28" s="23"/>
      <c r="J28" s="23"/>
      <c r="K28" s="23"/>
      <c r="L28" s="23"/>
      <c r="M28" s="23"/>
      <c r="N28" s="23"/>
      <c r="O28" s="23"/>
      <c r="P28" s="23"/>
      <c r="Q28" s="23"/>
      <c r="R28" s="23"/>
      <c r="S28" s="23"/>
      <c r="T28" s="23"/>
      <c r="U28" s="23"/>
      <c r="V28" s="23"/>
      <c r="W28" s="23"/>
      <c r="X28" s="23"/>
      <c r="Y28" s="23"/>
    </row>
    <row r="29" ht="22.5" customHeight="1">
      <c r="A29" s="40" t="s">
        <v>210</v>
      </c>
      <c r="B29" s="41" t="s">
        <v>211</v>
      </c>
      <c r="C29" s="33"/>
      <c r="D29" s="34"/>
      <c r="E29" s="34"/>
      <c r="F29" s="34"/>
      <c r="G29" s="35"/>
      <c r="H29" s="35"/>
      <c r="I29" s="23"/>
      <c r="J29" s="23"/>
      <c r="K29" s="23"/>
      <c r="L29" s="23"/>
      <c r="M29" s="23"/>
      <c r="N29" s="23"/>
      <c r="O29" s="23"/>
      <c r="P29" s="23"/>
      <c r="Q29" s="23"/>
      <c r="R29" s="23"/>
      <c r="S29" s="23"/>
      <c r="T29" s="23"/>
      <c r="U29" s="23"/>
      <c r="V29" s="23"/>
      <c r="W29" s="23"/>
      <c r="X29" s="23"/>
      <c r="Y29" s="23"/>
    </row>
    <row r="30" ht="22.5" customHeight="1">
      <c r="A30" s="40" t="s">
        <v>210</v>
      </c>
      <c r="B30" s="41" t="s">
        <v>211</v>
      </c>
      <c r="C30" s="26" t="s">
        <v>212</v>
      </c>
      <c r="D30" s="17">
        <v>2.0</v>
      </c>
      <c r="E30" s="17">
        <v>3.0</v>
      </c>
      <c r="F30" s="19">
        <v>1.0</v>
      </c>
      <c r="G30" s="21" t="s">
        <v>213</v>
      </c>
      <c r="H30" s="21" t="s">
        <v>214</v>
      </c>
      <c r="I30" s="23"/>
      <c r="J30" s="23"/>
      <c r="K30" s="23"/>
      <c r="L30" s="23"/>
      <c r="M30" s="23"/>
      <c r="N30" s="23"/>
      <c r="O30" s="23"/>
      <c r="P30" s="23"/>
      <c r="Q30" s="23"/>
      <c r="R30" s="23"/>
      <c r="S30" s="23"/>
      <c r="T30" s="23"/>
      <c r="U30" s="23"/>
      <c r="V30" s="23"/>
      <c r="W30" s="23"/>
      <c r="X30" s="23"/>
      <c r="Y30" s="23"/>
    </row>
    <row r="31" ht="22.5" customHeight="1">
      <c r="A31" s="40" t="s">
        <v>210</v>
      </c>
      <c r="B31" s="41" t="s">
        <v>211</v>
      </c>
      <c r="C31" s="26" t="s">
        <v>215</v>
      </c>
      <c r="D31" s="17">
        <v>2.0</v>
      </c>
      <c r="E31" s="17">
        <v>3.0</v>
      </c>
      <c r="F31" s="19">
        <v>1.0</v>
      </c>
      <c r="G31" s="21" t="s">
        <v>216</v>
      </c>
      <c r="H31" s="21" t="s">
        <v>217</v>
      </c>
      <c r="I31" s="23"/>
      <c r="J31" s="23"/>
      <c r="K31" s="23"/>
      <c r="L31" s="23"/>
      <c r="M31" s="23"/>
      <c r="N31" s="23"/>
      <c r="O31" s="23"/>
      <c r="P31" s="23"/>
      <c r="Q31" s="23"/>
      <c r="R31" s="23"/>
      <c r="S31" s="23"/>
      <c r="T31" s="23"/>
      <c r="U31" s="23"/>
      <c r="V31" s="23"/>
      <c r="W31" s="23"/>
      <c r="X31" s="23"/>
      <c r="Y31" s="23"/>
    </row>
    <row r="32" ht="22.5" customHeight="1">
      <c r="A32" s="40" t="s">
        <v>210</v>
      </c>
      <c r="B32" s="41" t="s">
        <v>211</v>
      </c>
      <c r="C32" s="26" t="s">
        <v>218</v>
      </c>
      <c r="D32" s="17">
        <v>2.0</v>
      </c>
      <c r="E32" s="17">
        <v>3.0</v>
      </c>
      <c r="F32" s="19">
        <v>1.0</v>
      </c>
      <c r="G32" s="21" t="s">
        <v>219</v>
      </c>
      <c r="H32" s="21" t="s">
        <v>220</v>
      </c>
      <c r="I32" s="23"/>
      <c r="J32" s="23"/>
      <c r="K32" s="23"/>
      <c r="L32" s="23"/>
      <c r="M32" s="23"/>
      <c r="N32" s="23"/>
      <c r="O32" s="23"/>
      <c r="P32" s="23"/>
      <c r="Q32" s="23"/>
      <c r="R32" s="23"/>
      <c r="S32" s="23"/>
      <c r="T32" s="23"/>
      <c r="U32" s="23"/>
      <c r="V32" s="23"/>
      <c r="W32" s="23"/>
      <c r="X32" s="23"/>
      <c r="Y32" s="23"/>
    </row>
    <row r="33" ht="22.5" customHeight="1">
      <c r="A33" s="40" t="s">
        <v>210</v>
      </c>
      <c r="B33" s="41" t="s">
        <v>211</v>
      </c>
      <c r="C33" s="26" t="s">
        <v>221</v>
      </c>
      <c r="D33" s="17">
        <v>2.0</v>
      </c>
      <c r="E33" s="17">
        <v>3.0</v>
      </c>
      <c r="F33" s="19">
        <v>1.0</v>
      </c>
      <c r="G33" s="21" t="s">
        <v>222</v>
      </c>
      <c r="H33" s="21" t="s">
        <v>223</v>
      </c>
      <c r="I33" s="23"/>
      <c r="J33" s="23"/>
      <c r="K33" s="23"/>
      <c r="L33" s="23"/>
      <c r="M33" s="23"/>
      <c r="N33" s="23"/>
      <c r="O33" s="23"/>
      <c r="P33" s="23"/>
      <c r="Q33" s="23"/>
      <c r="R33" s="23"/>
      <c r="S33" s="23"/>
      <c r="T33" s="23"/>
      <c r="U33" s="23"/>
      <c r="V33" s="23"/>
      <c r="W33" s="23"/>
      <c r="X33" s="23"/>
      <c r="Y33" s="23"/>
    </row>
    <row r="34" ht="22.5" customHeight="1">
      <c r="A34" s="40" t="s">
        <v>210</v>
      </c>
      <c r="B34" s="41" t="s">
        <v>211</v>
      </c>
      <c r="C34" s="26" t="s">
        <v>224</v>
      </c>
      <c r="D34" s="17">
        <v>3.0</v>
      </c>
      <c r="E34" s="19">
        <v>3.0</v>
      </c>
      <c r="F34" s="19">
        <v>0.0</v>
      </c>
      <c r="G34" s="21" t="s">
        <v>225</v>
      </c>
      <c r="H34" s="21" t="s">
        <v>226</v>
      </c>
      <c r="I34" s="23"/>
      <c r="J34" s="23"/>
      <c r="K34" s="23"/>
      <c r="L34" s="23"/>
      <c r="M34" s="23"/>
      <c r="N34" s="23"/>
      <c r="O34" s="23"/>
      <c r="P34" s="23"/>
      <c r="Q34" s="23"/>
      <c r="R34" s="23"/>
      <c r="S34" s="23"/>
      <c r="T34" s="23"/>
      <c r="U34" s="23"/>
      <c r="V34" s="23"/>
      <c r="W34" s="23"/>
      <c r="X34" s="23"/>
      <c r="Y34" s="23"/>
    </row>
    <row r="35" ht="22.5" customHeight="1">
      <c r="A35" s="40" t="s">
        <v>210</v>
      </c>
      <c r="B35" s="42" t="s">
        <v>227</v>
      </c>
      <c r="C35" s="33"/>
      <c r="D35" s="34"/>
      <c r="E35" s="34"/>
      <c r="F35" s="34"/>
      <c r="G35" s="35"/>
      <c r="H35" s="35"/>
      <c r="I35" s="23"/>
      <c r="J35" s="23"/>
      <c r="K35" s="23"/>
      <c r="L35" s="23"/>
      <c r="M35" s="23"/>
      <c r="N35" s="23"/>
      <c r="O35" s="23"/>
      <c r="P35" s="23"/>
      <c r="Q35" s="23"/>
      <c r="R35" s="23"/>
      <c r="S35" s="23"/>
      <c r="T35" s="23"/>
      <c r="U35" s="23"/>
      <c r="V35" s="23"/>
      <c r="W35" s="23"/>
      <c r="X35" s="23"/>
      <c r="Y35" s="23"/>
    </row>
    <row r="36" ht="22.5" customHeight="1">
      <c r="A36" s="40" t="s">
        <v>210</v>
      </c>
      <c r="B36" s="42" t="s">
        <v>227</v>
      </c>
      <c r="C36" s="26" t="s">
        <v>228</v>
      </c>
      <c r="D36" s="17">
        <v>2.0</v>
      </c>
      <c r="E36" s="17">
        <v>3.0</v>
      </c>
      <c r="F36" s="19">
        <v>1.0</v>
      </c>
      <c r="G36" s="21" t="s">
        <v>229</v>
      </c>
      <c r="H36" s="21" t="s">
        <v>230</v>
      </c>
      <c r="I36" s="23"/>
      <c r="J36" s="23"/>
      <c r="K36" s="23"/>
      <c r="L36" s="23"/>
      <c r="M36" s="23"/>
      <c r="N36" s="23"/>
      <c r="O36" s="23"/>
      <c r="P36" s="23"/>
      <c r="Q36" s="23"/>
      <c r="R36" s="23"/>
      <c r="S36" s="23"/>
      <c r="T36" s="23"/>
      <c r="U36" s="23"/>
      <c r="V36" s="23"/>
      <c r="W36" s="23"/>
      <c r="X36" s="23"/>
      <c r="Y36" s="23"/>
    </row>
    <row r="37" ht="22.5" customHeight="1">
      <c r="A37" s="40" t="s">
        <v>210</v>
      </c>
      <c r="B37" s="42" t="s">
        <v>227</v>
      </c>
      <c r="C37" s="26" t="s">
        <v>231</v>
      </c>
      <c r="D37" s="17">
        <v>1.0</v>
      </c>
      <c r="E37" s="17">
        <v>3.0</v>
      </c>
      <c r="F37" s="19">
        <v>2.0</v>
      </c>
      <c r="G37" s="21" t="s">
        <v>232</v>
      </c>
      <c r="H37" s="21" t="s">
        <v>233</v>
      </c>
      <c r="I37" s="23"/>
      <c r="J37" s="23"/>
      <c r="K37" s="23"/>
      <c r="L37" s="23"/>
      <c r="M37" s="23"/>
      <c r="N37" s="23"/>
      <c r="O37" s="23"/>
      <c r="P37" s="23"/>
      <c r="Q37" s="23"/>
      <c r="R37" s="23"/>
      <c r="S37" s="23"/>
      <c r="T37" s="23"/>
      <c r="U37" s="23"/>
      <c r="V37" s="23"/>
      <c r="W37" s="23"/>
      <c r="X37" s="23"/>
      <c r="Y37" s="23"/>
    </row>
    <row r="38" ht="22.5" customHeight="1">
      <c r="A38" s="40" t="s">
        <v>210</v>
      </c>
      <c r="B38" s="42" t="s">
        <v>227</v>
      </c>
      <c r="C38" s="26" t="s">
        <v>234</v>
      </c>
      <c r="D38" s="17">
        <v>1.0</v>
      </c>
      <c r="E38" s="17">
        <v>3.0</v>
      </c>
      <c r="F38" s="19">
        <v>2.0</v>
      </c>
      <c r="G38" s="21" t="s">
        <v>235</v>
      </c>
      <c r="H38" s="21" t="s">
        <v>236</v>
      </c>
      <c r="I38" s="23"/>
      <c r="J38" s="23"/>
      <c r="K38" s="23"/>
      <c r="L38" s="23"/>
      <c r="M38" s="23"/>
      <c r="N38" s="23"/>
      <c r="O38" s="23"/>
      <c r="P38" s="23"/>
      <c r="Q38" s="23"/>
      <c r="R38" s="23"/>
      <c r="S38" s="23"/>
      <c r="T38" s="23"/>
      <c r="U38" s="23"/>
      <c r="V38" s="23"/>
      <c r="W38" s="23"/>
      <c r="X38" s="23"/>
      <c r="Y38" s="23"/>
    </row>
    <row r="39" ht="22.5" customHeight="1">
      <c r="A39" s="40" t="s">
        <v>210</v>
      </c>
      <c r="B39" s="42" t="s">
        <v>227</v>
      </c>
      <c r="C39" s="26" t="s">
        <v>237</v>
      </c>
      <c r="D39" s="17">
        <v>1.0</v>
      </c>
      <c r="E39" s="17">
        <v>3.0</v>
      </c>
      <c r="F39" s="19">
        <v>2.0</v>
      </c>
      <c r="G39" s="21" t="s">
        <v>238</v>
      </c>
      <c r="H39" s="21" t="s">
        <v>239</v>
      </c>
      <c r="I39" s="23"/>
      <c r="J39" s="23"/>
      <c r="K39" s="23"/>
      <c r="L39" s="23"/>
      <c r="M39" s="23"/>
      <c r="N39" s="23"/>
      <c r="O39" s="23"/>
      <c r="P39" s="23"/>
      <c r="Q39" s="23"/>
      <c r="R39" s="23"/>
      <c r="S39" s="23"/>
      <c r="T39" s="23"/>
      <c r="U39" s="23"/>
      <c r="V39" s="23"/>
      <c r="W39" s="23"/>
      <c r="X39" s="23"/>
      <c r="Y39" s="23"/>
    </row>
    <row r="40" ht="22.5" customHeight="1">
      <c r="A40" s="40" t="s">
        <v>210</v>
      </c>
      <c r="B40" s="42" t="s">
        <v>227</v>
      </c>
      <c r="C40" s="26" t="s">
        <v>240</v>
      </c>
      <c r="D40" s="17">
        <v>1.0</v>
      </c>
      <c r="E40" s="17">
        <v>3.0</v>
      </c>
      <c r="F40" s="19">
        <v>2.0</v>
      </c>
      <c r="G40" s="21" t="s">
        <v>241</v>
      </c>
      <c r="H40" s="21" t="s">
        <v>204</v>
      </c>
      <c r="I40" s="23"/>
      <c r="J40" s="23"/>
      <c r="K40" s="23"/>
      <c r="L40" s="23"/>
      <c r="M40" s="23"/>
      <c r="N40" s="23"/>
      <c r="O40" s="23"/>
      <c r="P40" s="23"/>
      <c r="Q40" s="23"/>
      <c r="R40" s="23"/>
      <c r="S40" s="23"/>
      <c r="T40" s="23"/>
      <c r="U40" s="23"/>
      <c r="V40" s="23"/>
      <c r="W40" s="23"/>
      <c r="X40" s="23"/>
      <c r="Y40" s="23"/>
    </row>
    <row r="41" ht="22.5" customHeight="1">
      <c r="A41" s="40" t="s">
        <v>210</v>
      </c>
      <c r="B41" s="42" t="s">
        <v>227</v>
      </c>
      <c r="C41" s="26" t="s">
        <v>242</v>
      </c>
      <c r="D41" s="17">
        <v>1.0</v>
      </c>
      <c r="E41" s="17">
        <v>3.0</v>
      </c>
      <c r="F41" s="19">
        <v>2.0</v>
      </c>
      <c r="G41" s="21" t="s">
        <v>243</v>
      </c>
      <c r="H41" s="21" t="s">
        <v>236</v>
      </c>
      <c r="I41" s="23"/>
      <c r="J41" s="23"/>
      <c r="K41" s="23"/>
      <c r="L41" s="23"/>
      <c r="M41" s="23"/>
      <c r="N41" s="23"/>
      <c r="O41" s="23"/>
      <c r="P41" s="23"/>
      <c r="Q41" s="23"/>
      <c r="R41" s="23"/>
      <c r="S41" s="23"/>
      <c r="T41" s="23"/>
      <c r="U41" s="23"/>
      <c r="V41" s="23"/>
      <c r="W41" s="23"/>
      <c r="X41" s="23"/>
      <c r="Y41" s="23"/>
    </row>
    <row r="42" ht="22.5" customHeight="1">
      <c r="A42" s="43"/>
      <c r="B42" s="44"/>
      <c r="C42" s="45"/>
      <c r="D42" s="46">
        <f t="shared" ref="D42:E42" si="1">SUM(D3:D41)</f>
        <v>74</v>
      </c>
      <c r="E42" s="46">
        <f t="shared" si="1"/>
        <v>107</v>
      </c>
      <c r="F42" s="47"/>
      <c r="G42" s="48"/>
      <c r="H42" s="48"/>
      <c r="I42" s="23"/>
      <c r="J42" s="23"/>
      <c r="K42" s="23"/>
      <c r="L42" s="23"/>
      <c r="M42" s="23"/>
      <c r="N42" s="23"/>
      <c r="O42" s="23"/>
      <c r="P42" s="23"/>
      <c r="Q42" s="23"/>
      <c r="R42" s="23"/>
      <c r="S42" s="23"/>
      <c r="T42" s="23"/>
      <c r="U42" s="23"/>
      <c r="V42" s="23"/>
      <c r="W42" s="23"/>
      <c r="X42" s="23"/>
      <c r="Y42" s="23"/>
    </row>
    <row r="43">
      <c r="A43" s="23"/>
      <c r="B43" s="23"/>
      <c r="C43" s="49"/>
      <c r="D43" s="23"/>
      <c r="E43" s="23"/>
      <c r="F43" s="23"/>
      <c r="G43" s="23"/>
      <c r="H43" s="23"/>
      <c r="I43" s="23"/>
      <c r="J43" s="23"/>
      <c r="K43" s="23"/>
      <c r="L43" s="23"/>
      <c r="M43" s="23"/>
      <c r="N43" s="23"/>
      <c r="O43" s="23"/>
      <c r="P43" s="23"/>
      <c r="Q43" s="23"/>
      <c r="R43" s="23"/>
      <c r="S43" s="23"/>
      <c r="T43" s="23"/>
      <c r="U43" s="23"/>
      <c r="V43" s="23"/>
      <c r="W43" s="23"/>
      <c r="X43" s="23"/>
      <c r="Y43" s="23"/>
    </row>
    <row r="44">
      <c r="A44" s="23"/>
      <c r="B44" s="23"/>
      <c r="C44" s="49"/>
      <c r="D44" s="23"/>
      <c r="E44" s="23"/>
      <c r="F44" s="23"/>
      <c r="G44" s="23"/>
      <c r="H44" s="23"/>
      <c r="I44" s="23"/>
      <c r="J44" s="23"/>
      <c r="K44" s="23"/>
      <c r="L44" s="23"/>
      <c r="M44" s="23"/>
      <c r="N44" s="23"/>
      <c r="O44" s="23"/>
      <c r="P44" s="23"/>
      <c r="Q44" s="23"/>
      <c r="R44" s="23"/>
      <c r="S44" s="23"/>
      <c r="T44" s="23"/>
      <c r="U44" s="23"/>
      <c r="V44" s="23"/>
      <c r="W44" s="23"/>
      <c r="X44" s="23"/>
      <c r="Y44" s="23"/>
    </row>
    <row r="45">
      <c r="A45" s="23"/>
      <c r="B45" s="23"/>
      <c r="C45" s="49"/>
      <c r="D45" s="23"/>
      <c r="E45" s="23"/>
      <c r="F45" s="23"/>
      <c r="G45" s="23"/>
      <c r="H45" s="23"/>
      <c r="I45" s="23"/>
      <c r="J45" s="23"/>
      <c r="K45" s="23"/>
      <c r="L45" s="23"/>
      <c r="M45" s="23"/>
      <c r="N45" s="23"/>
      <c r="O45" s="23"/>
      <c r="P45" s="23"/>
      <c r="Q45" s="23"/>
      <c r="R45" s="23"/>
      <c r="S45" s="23"/>
      <c r="T45" s="23"/>
      <c r="U45" s="23"/>
      <c r="V45" s="23"/>
      <c r="W45" s="23"/>
      <c r="X45" s="23"/>
      <c r="Y45" s="23"/>
    </row>
    <row r="46">
      <c r="A46" s="23"/>
      <c r="B46" s="23"/>
      <c r="C46" s="49"/>
      <c r="D46" s="23"/>
      <c r="E46" s="23"/>
      <c r="F46" s="23"/>
      <c r="G46" s="23"/>
      <c r="H46" s="23"/>
      <c r="I46" s="23"/>
      <c r="J46" s="23"/>
      <c r="K46" s="23"/>
      <c r="L46" s="23"/>
      <c r="M46" s="23"/>
      <c r="N46" s="23"/>
      <c r="O46" s="23"/>
      <c r="P46" s="23"/>
      <c r="Q46" s="23"/>
      <c r="R46" s="23"/>
      <c r="S46" s="23"/>
      <c r="T46" s="23"/>
      <c r="U46" s="23"/>
      <c r="V46" s="23"/>
      <c r="W46" s="23"/>
      <c r="X46" s="23"/>
      <c r="Y46" s="23"/>
    </row>
    <row r="47">
      <c r="A47" s="23"/>
      <c r="B47" s="23"/>
      <c r="C47" s="49"/>
      <c r="D47" s="23"/>
      <c r="E47" s="23"/>
      <c r="F47" s="23"/>
      <c r="G47" s="23"/>
      <c r="H47" s="23"/>
      <c r="I47" s="23"/>
      <c r="J47" s="23"/>
      <c r="K47" s="23"/>
      <c r="L47" s="23"/>
      <c r="M47" s="23"/>
      <c r="N47" s="23"/>
      <c r="O47" s="23"/>
      <c r="P47" s="23"/>
      <c r="Q47" s="23"/>
      <c r="R47" s="23"/>
      <c r="S47" s="23"/>
      <c r="T47" s="23"/>
      <c r="U47" s="23"/>
      <c r="V47" s="23"/>
      <c r="W47" s="23"/>
      <c r="X47" s="23"/>
      <c r="Y47" s="23"/>
    </row>
    <row r="48">
      <c r="A48" s="23"/>
      <c r="B48" s="23"/>
      <c r="C48" s="49"/>
      <c r="D48" s="23"/>
      <c r="E48" s="23"/>
      <c r="F48" s="23"/>
      <c r="G48" s="23"/>
      <c r="H48" s="23"/>
      <c r="I48" s="23"/>
      <c r="J48" s="23"/>
      <c r="K48" s="23"/>
      <c r="L48" s="23"/>
      <c r="M48" s="23"/>
      <c r="N48" s="23"/>
      <c r="O48" s="23"/>
      <c r="P48" s="23"/>
      <c r="Q48" s="23"/>
      <c r="R48" s="23"/>
      <c r="S48" s="23"/>
      <c r="T48" s="23"/>
      <c r="U48" s="23"/>
      <c r="V48" s="23"/>
      <c r="W48" s="23"/>
      <c r="X48" s="23"/>
      <c r="Y48" s="23"/>
    </row>
    <row r="49">
      <c r="A49" s="23"/>
      <c r="B49" s="23"/>
      <c r="C49" s="49"/>
      <c r="D49" s="23"/>
      <c r="E49" s="23"/>
      <c r="F49" s="23"/>
      <c r="G49" s="23"/>
      <c r="H49" s="23"/>
      <c r="I49" s="23"/>
      <c r="J49" s="23"/>
      <c r="K49" s="23"/>
      <c r="L49" s="23"/>
      <c r="M49" s="23"/>
      <c r="N49" s="23"/>
      <c r="O49" s="23"/>
      <c r="P49" s="23"/>
      <c r="Q49" s="23"/>
      <c r="R49" s="23"/>
      <c r="S49" s="23"/>
      <c r="T49" s="23"/>
      <c r="U49" s="23"/>
      <c r="V49" s="23"/>
      <c r="W49" s="23"/>
      <c r="X49" s="23"/>
      <c r="Y49" s="23"/>
    </row>
    <row r="50">
      <c r="A50" s="23"/>
      <c r="B50" s="23"/>
      <c r="C50" s="49"/>
      <c r="D50" s="23"/>
      <c r="E50" s="23"/>
      <c r="F50" s="23"/>
      <c r="G50" s="23"/>
      <c r="H50" s="23"/>
      <c r="I50" s="23"/>
      <c r="J50" s="23"/>
      <c r="K50" s="23"/>
      <c r="L50" s="23"/>
      <c r="M50" s="23"/>
      <c r="N50" s="23"/>
      <c r="O50" s="23"/>
      <c r="P50" s="23"/>
      <c r="Q50" s="23"/>
      <c r="R50" s="23"/>
      <c r="S50" s="23"/>
      <c r="T50" s="23"/>
      <c r="U50" s="23"/>
      <c r="V50" s="23"/>
      <c r="W50" s="23"/>
      <c r="X50" s="23"/>
      <c r="Y50" s="23"/>
    </row>
    <row r="51">
      <c r="A51" s="23"/>
      <c r="B51" s="23"/>
      <c r="C51" s="49"/>
      <c r="D51" s="23"/>
      <c r="E51" s="23"/>
      <c r="F51" s="23"/>
      <c r="G51" s="23"/>
      <c r="H51" s="23"/>
      <c r="I51" s="23"/>
      <c r="J51" s="23"/>
      <c r="K51" s="23"/>
      <c r="L51" s="23"/>
      <c r="M51" s="23"/>
      <c r="N51" s="23"/>
      <c r="O51" s="23"/>
      <c r="P51" s="23"/>
      <c r="Q51" s="23"/>
      <c r="R51" s="23"/>
      <c r="S51" s="23"/>
      <c r="T51" s="23"/>
      <c r="U51" s="23"/>
      <c r="V51" s="23"/>
      <c r="W51" s="23"/>
      <c r="X51" s="23"/>
      <c r="Y51" s="23"/>
    </row>
    <row r="52">
      <c r="A52" s="23"/>
      <c r="B52" s="23"/>
      <c r="C52" s="49"/>
      <c r="D52" s="23"/>
      <c r="E52" s="23"/>
      <c r="F52" s="23"/>
      <c r="G52" s="23"/>
      <c r="H52" s="23"/>
      <c r="I52" s="23"/>
      <c r="J52" s="23"/>
      <c r="K52" s="23"/>
      <c r="L52" s="23"/>
      <c r="M52" s="23"/>
      <c r="N52" s="23"/>
      <c r="O52" s="23"/>
      <c r="P52" s="23"/>
      <c r="Q52" s="23"/>
      <c r="R52" s="23"/>
      <c r="S52" s="23"/>
      <c r="T52" s="23"/>
      <c r="U52" s="23"/>
      <c r="V52" s="23"/>
      <c r="W52" s="23"/>
      <c r="X52" s="23"/>
      <c r="Y52" s="23"/>
    </row>
    <row r="53">
      <c r="A53" s="23"/>
      <c r="B53" s="23"/>
      <c r="C53" s="49"/>
      <c r="D53" s="23"/>
      <c r="E53" s="23"/>
      <c r="F53" s="23"/>
      <c r="G53" s="23"/>
      <c r="H53" s="23"/>
      <c r="I53" s="23"/>
      <c r="J53" s="23"/>
      <c r="K53" s="23"/>
      <c r="L53" s="23"/>
      <c r="M53" s="23"/>
      <c r="N53" s="23"/>
      <c r="O53" s="23"/>
      <c r="P53" s="23"/>
      <c r="Q53" s="23"/>
      <c r="R53" s="23"/>
      <c r="S53" s="23"/>
      <c r="T53" s="23"/>
      <c r="U53" s="23"/>
      <c r="V53" s="23"/>
      <c r="W53" s="23"/>
      <c r="X53" s="23"/>
      <c r="Y53" s="23"/>
    </row>
    <row r="54">
      <c r="A54" s="23"/>
      <c r="B54" s="23"/>
      <c r="C54" s="49"/>
      <c r="D54" s="23"/>
      <c r="E54" s="23"/>
      <c r="F54" s="23"/>
      <c r="G54" s="23"/>
      <c r="H54" s="23"/>
      <c r="I54" s="23"/>
      <c r="J54" s="23"/>
      <c r="K54" s="23"/>
      <c r="L54" s="23"/>
      <c r="M54" s="23"/>
      <c r="N54" s="23"/>
      <c r="O54" s="23"/>
      <c r="P54" s="23"/>
      <c r="Q54" s="23"/>
      <c r="R54" s="23"/>
      <c r="S54" s="23"/>
      <c r="T54" s="23"/>
      <c r="U54" s="23"/>
      <c r="V54" s="23"/>
      <c r="W54" s="23"/>
      <c r="X54" s="23"/>
      <c r="Y54" s="23"/>
    </row>
    <row r="55">
      <c r="A55" s="23"/>
      <c r="B55" s="23"/>
      <c r="C55" s="49"/>
      <c r="D55" s="23"/>
      <c r="E55" s="23"/>
      <c r="F55" s="23"/>
      <c r="G55" s="23"/>
      <c r="H55" s="23"/>
      <c r="I55" s="23"/>
      <c r="J55" s="23"/>
      <c r="K55" s="23"/>
      <c r="L55" s="23"/>
      <c r="M55" s="23"/>
      <c r="N55" s="23"/>
      <c r="O55" s="23"/>
      <c r="P55" s="23"/>
      <c r="Q55" s="23"/>
      <c r="R55" s="23"/>
      <c r="S55" s="23"/>
      <c r="T55" s="23"/>
      <c r="U55" s="23"/>
      <c r="V55" s="23"/>
      <c r="W55" s="23"/>
      <c r="X55" s="23"/>
      <c r="Y55" s="23"/>
    </row>
    <row r="56">
      <c r="A56" s="23"/>
      <c r="B56" s="23"/>
      <c r="C56" s="49"/>
      <c r="D56" s="23"/>
      <c r="E56" s="23"/>
      <c r="F56" s="23"/>
      <c r="G56" s="23"/>
      <c r="H56" s="23"/>
      <c r="I56" s="23"/>
      <c r="J56" s="23"/>
      <c r="K56" s="23"/>
      <c r="L56" s="23"/>
      <c r="M56" s="23"/>
      <c r="N56" s="23"/>
      <c r="O56" s="23"/>
      <c r="P56" s="23"/>
      <c r="Q56" s="23"/>
      <c r="R56" s="23"/>
      <c r="S56" s="23"/>
      <c r="T56" s="23"/>
      <c r="U56" s="23"/>
      <c r="V56" s="23"/>
      <c r="W56" s="23"/>
      <c r="X56" s="23"/>
      <c r="Y56" s="23"/>
    </row>
    <row r="57">
      <c r="A57" s="23"/>
      <c r="B57" s="23"/>
      <c r="C57" s="49"/>
      <c r="D57" s="23"/>
      <c r="E57" s="23"/>
      <c r="F57" s="23"/>
      <c r="G57" s="23"/>
      <c r="H57" s="23"/>
      <c r="I57" s="23"/>
      <c r="J57" s="23"/>
      <c r="K57" s="23"/>
      <c r="L57" s="23"/>
      <c r="M57" s="23"/>
      <c r="N57" s="23"/>
      <c r="O57" s="23"/>
      <c r="P57" s="23"/>
      <c r="Q57" s="23"/>
      <c r="R57" s="23"/>
      <c r="S57" s="23"/>
      <c r="T57" s="23"/>
      <c r="U57" s="23"/>
      <c r="V57" s="23"/>
      <c r="W57" s="23"/>
      <c r="X57" s="23"/>
      <c r="Y57" s="23"/>
    </row>
    <row r="58">
      <c r="A58" s="23"/>
      <c r="B58" s="23"/>
      <c r="C58" s="49"/>
      <c r="D58" s="23"/>
      <c r="E58" s="23"/>
      <c r="F58" s="23"/>
      <c r="G58" s="23"/>
      <c r="H58" s="23"/>
      <c r="I58" s="23"/>
      <c r="J58" s="23"/>
      <c r="K58" s="23"/>
      <c r="L58" s="23"/>
      <c r="M58" s="23"/>
      <c r="N58" s="23"/>
      <c r="O58" s="23"/>
      <c r="P58" s="23"/>
      <c r="Q58" s="23"/>
      <c r="R58" s="23"/>
      <c r="S58" s="23"/>
      <c r="T58" s="23"/>
      <c r="U58" s="23"/>
      <c r="V58" s="23"/>
      <c r="W58" s="23"/>
      <c r="X58" s="23"/>
      <c r="Y58" s="23"/>
    </row>
    <row r="59">
      <c r="A59" s="23"/>
      <c r="B59" s="23"/>
      <c r="C59" s="49"/>
      <c r="D59" s="23"/>
      <c r="E59" s="23"/>
      <c r="F59" s="23"/>
      <c r="G59" s="23"/>
      <c r="H59" s="23"/>
      <c r="I59" s="23"/>
      <c r="J59" s="23"/>
      <c r="K59" s="23"/>
      <c r="L59" s="23"/>
      <c r="M59" s="23"/>
      <c r="N59" s="23"/>
      <c r="O59" s="23"/>
      <c r="P59" s="23"/>
      <c r="Q59" s="23"/>
      <c r="R59" s="23"/>
      <c r="S59" s="23"/>
      <c r="T59" s="23"/>
      <c r="U59" s="23"/>
      <c r="V59" s="23"/>
      <c r="W59" s="23"/>
      <c r="X59" s="23"/>
      <c r="Y59" s="23"/>
    </row>
    <row r="60">
      <c r="A60" s="23"/>
      <c r="B60" s="23"/>
      <c r="C60" s="49"/>
      <c r="D60" s="23"/>
      <c r="E60" s="23"/>
      <c r="F60" s="23"/>
      <c r="G60" s="23"/>
      <c r="H60" s="23"/>
      <c r="I60" s="23"/>
      <c r="J60" s="23"/>
      <c r="K60" s="23"/>
      <c r="L60" s="23"/>
      <c r="M60" s="23"/>
      <c r="N60" s="23"/>
      <c r="O60" s="23"/>
      <c r="P60" s="23"/>
      <c r="Q60" s="23"/>
      <c r="R60" s="23"/>
      <c r="S60" s="23"/>
      <c r="T60" s="23"/>
      <c r="U60" s="23"/>
      <c r="V60" s="23"/>
      <c r="W60" s="23"/>
      <c r="X60" s="23"/>
      <c r="Y60" s="23"/>
    </row>
    <row r="61">
      <c r="A61" s="23"/>
      <c r="B61" s="23"/>
      <c r="C61" s="49"/>
      <c r="D61" s="23"/>
      <c r="E61" s="23"/>
      <c r="F61" s="23"/>
      <c r="G61" s="23"/>
      <c r="H61" s="23"/>
      <c r="I61" s="23"/>
      <c r="J61" s="23"/>
      <c r="K61" s="23"/>
      <c r="L61" s="23"/>
      <c r="M61" s="23"/>
      <c r="N61" s="23"/>
      <c r="O61" s="23"/>
      <c r="P61" s="23"/>
      <c r="Q61" s="23"/>
      <c r="R61" s="23"/>
      <c r="S61" s="23"/>
      <c r="T61" s="23"/>
      <c r="U61" s="23"/>
      <c r="V61" s="23"/>
      <c r="W61" s="23"/>
      <c r="X61" s="23"/>
      <c r="Y61" s="23"/>
    </row>
    <row r="62">
      <c r="A62" s="23"/>
      <c r="B62" s="23"/>
      <c r="C62" s="49"/>
      <c r="D62" s="23"/>
      <c r="E62" s="23"/>
      <c r="F62" s="23"/>
      <c r="G62" s="23"/>
      <c r="H62" s="23"/>
      <c r="I62" s="23"/>
      <c r="J62" s="23"/>
      <c r="K62" s="23"/>
      <c r="L62" s="23"/>
      <c r="M62" s="23"/>
      <c r="N62" s="23"/>
      <c r="O62" s="23"/>
      <c r="P62" s="23"/>
      <c r="Q62" s="23"/>
      <c r="R62" s="23"/>
      <c r="S62" s="23"/>
      <c r="T62" s="23"/>
      <c r="U62" s="23"/>
      <c r="V62" s="23"/>
      <c r="W62" s="23"/>
      <c r="X62" s="23"/>
      <c r="Y62" s="23"/>
    </row>
    <row r="63">
      <c r="A63" s="23"/>
      <c r="B63" s="23"/>
      <c r="C63" s="49"/>
      <c r="D63" s="23"/>
      <c r="E63" s="23"/>
      <c r="F63" s="23"/>
      <c r="G63" s="23"/>
      <c r="H63" s="23"/>
      <c r="I63" s="23"/>
      <c r="J63" s="23"/>
      <c r="K63" s="23"/>
      <c r="L63" s="23"/>
      <c r="M63" s="23"/>
      <c r="N63" s="23"/>
      <c r="O63" s="23"/>
      <c r="P63" s="23"/>
      <c r="Q63" s="23"/>
      <c r="R63" s="23"/>
      <c r="S63" s="23"/>
      <c r="T63" s="23"/>
      <c r="U63" s="23"/>
      <c r="V63" s="23"/>
      <c r="W63" s="23"/>
      <c r="X63" s="23"/>
      <c r="Y63" s="23"/>
    </row>
    <row r="64">
      <c r="A64" s="23"/>
      <c r="B64" s="23"/>
      <c r="C64" s="49"/>
      <c r="D64" s="23"/>
      <c r="E64" s="23"/>
      <c r="F64" s="23"/>
      <c r="G64" s="23"/>
      <c r="H64" s="23"/>
      <c r="I64" s="23"/>
      <c r="J64" s="23"/>
      <c r="K64" s="23"/>
      <c r="L64" s="23"/>
      <c r="M64" s="23"/>
      <c r="N64" s="23"/>
      <c r="O64" s="23"/>
      <c r="P64" s="23"/>
      <c r="Q64" s="23"/>
      <c r="R64" s="23"/>
      <c r="S64" s="23"/>
      <c r="T64" s="23"/>
      <c r="U64" s="23"/>
      <c r="V64" s="23"/>
      <c r="W64" s="23"/>
      <c r="X64" s="23"/>
      <c r="Y64" s="23"/>
    </row>
    <row r="65">
      <c r="A65" s="23"/>
      <c r="B65" s="23"/>
      <c r="C65" s="49"/>
      <c r="D65" s="23"/>
      <c r="E65" s="23"/>
      <c r="F65" s="23"/>
      <c r="G65" s="23"/>
      <c r="H65" s="23"/>
      <c r="I65" s="23"/>
      <c r="J65" s="23"/>
      <c r="K65" s="23"/>
      <c r="L65" s="23"/>
      <c r="M65" s="23"/>
      <c r="N65" s="23"/>
      <c r="O65" s="23"/>
      <c r="P65" s="23"/>
      <c r="Q65" s="23"/>
      <c r="R65" s="23"/>
      <c r="S65" s="23"/>
      <c r="T65" s="23"/>
      <c r="U65" s="23"/>
      <c r="V65" s="23"/>
      <c r="W65" s="23"/>
      <c r="X65" s="23"/>
      <c r="Y65" s="23"/>
    </row>
    <row r="66">
      <c r="A66" s="23"/>
      <c r="B66" s="23"/>
      <c r="C66" s="49"/>
      <c r="D66" s="23"/>
      <c r="E66" s="23"/>
      <c r="F66" s="23"/>
      <c r="G66" s="23"/>
      <c r="H66" s="23"/>
      <c r="I66" s="23"/>
      <c r="J66" s="23"/>
      <c r="K66" s="23"/>
      <c r="L66" s="23"/>
      <c r="M66" s="23"/>
      <c r="N66" s="23"/>
      <c r="O66" s="23"/>
      <c r="P66" s="23"/>
      <c r="Q66" s="23"/>
      <c r="R66" s="23"/>
      <c r="S66" s="23"/>
      <c r="T66" s="23"/>
      <c r="U66" s="23"/>
      <c r="V66" s="23"/>
      <c r="W66" s="23"/>
      <c r="X66" s="23"/>
      <c r="Y66" s="23"/>
    </row>
    <row r="67">
      <c r="A67" s="23"/>
      <c r="B67" s="23"/>
      <c r="C67" s="49"/>
      <c r="D67" s="23"/>
      <c r="E67" s="23"/>
      <c r="F67" s="23"/>
      <c r="G67" s="23"/>
      <c r="H67" s="23"/>
      <c r="I67" s="23"/>
      <c r="J67" s="23"/>
      <c r="K67" s="23"/>
      <c r="L67" s="23"/>
      <c r="M67" s="23"/>
      <c r="N67" s="23"/>
      <c r="O67" s="23"/>
      <c r="P67" s="23"/>
      <c r="Q67" s="23"/>
      <c r="R67" s="23"/>
      <c r="S67" s="23"/>
      <c r="T67" s="23"/>
      <c r="U67" s="23"/>
      <c r="V67" s="23"/>
      <c r="W67" s="23"/>
      <c r="X67" s="23"/>
      <c r="Y67" s="23"/>
    </row>
    <row r="68">
      <c r="A68" s="23"/>
      <c r="B68" s="23"/>
      <c r="C68" s="49"/>
      <c r="D68" s="23"/>
      <c r="E68" s="23"/>
      <c r="F68" s="23"/>
      <c r="G68" s="23"/>
      <c r="H68" s="23"/>
      <c r="I68" s="23"/>
      <c r="J68" s="23"/>
      <c r="K68" s="23"/>
      <c r="L68" s="23"/>
      <c r="M68" s="23"/>
      <c r="N68" s="23"/>
      <c r="O68" s="23"/>
      <c r="P68" s="23"/>
      <c r="Q68" s="23"/>
      <c r="R68" s="23"/>
      <c r="S68" s="23"/>
      <c r="T68" s="23"/>
      <c r="U68" s="23"/>
      <c r="V68" s="23"/>
      <c r="W68" s="23"/>
      <c r="X68" s="23"/>
      <c r="Y68" s="23"/>
    </row>
    <row r="69">
      <c r="A69" s="23"/>
      <c r="B69" s="23"/>
      <c r="C69" s="49"/>
      <c r="D69" s="23"/>
      <c r="E69" s="23"/>
      <c r="F69" s="23"/>
      <c r="G69" s="23"/>
      <c r="H69" s="23"/>
      <c r="I69" s="23"/>
      <c r="J69" s="23"/>
      <c r="K69" s="23"/>
      <c r="L69" s="23"/>
      <c r="M69" s="23"/>
      <c r="N69" s="23"/>
      <c r="O69" s="23"/>
      <c r="P69" s="23"/>
      <c r="Q69" s="23"/>
      <c r="R69" s="23"/>
      <c r="S69" s="23"/>
      <c r="T69" s="23"/>
      <c r="U69" s="23"/>
      <c r="V69" s="23"/>
      <c r="W69" s="23"/>
      <c r="X69" s="23"/>
      <c r="Y69" s="23"/>
    </row>
    <row r="70">
      <c r="A70" s="23"/>
      <c r="B70" s="23"/>
      <c r="C70" s="49"/>
      <c r="D70" s="23"/>
      <c r="E70" s="23"/>
      <c r="F70" s="23"/>
      <c r="G70" s="23"/>
      <c r="H70" s="23"/>
      <c r="I70" s="23"/>
      <c r="J70" s="23"/>
      <c r="K70" s="23"/>
      <c r="L70" s="23"/>
      <c r="M70" s="23"/>
      <c r="N70" s="23"/>
      <c r="O70" s="23"/>
      <c r="P70" s="23"/>
      <c r="Q70" s="23"/>
      <c r="R70" s="23"/>
      <c r="S70" s="23"/>
      <c r="T70" s="23"/>
      <c r="U70" s="23"/>
      <c r="V70" s="23"/>
      <c r="W70" s="23"/>
      <c r="X70" s="23"/>
      <c r="Y70" s="23"/>
    </row>
    <row r="71">
      <c r="A71" s="23"/>
      <c r="B71" s="23"/>
      <c r="C71" s="49"/>
      <c r="D71" s="23"/>
      <c r="E71" s="23"/>
      <c r="F71" s="23"/>
      <c r="G71" s="23"/>
      <c r="H71" s="23"/>
      <c r="I71" s="23"/>
      <c r="J71" s="23"/>
      <c r="K71" s="23"/>
      <c r="L71" s="23"/>
      <c r="M71" s="23"/>
      <c r="N71" s="23"/>
      <c r="O71" s="23"/>
      <c r="P71" s="23"/>
      <c r="Q71" s="23"/>
      <c r="R71" s="23"/>
      <c r="S71" s="23"/>
      <c r="T71" s="23"/>
      <c r="U71" s="23"/>
      <c r="V71" s="23"/>
      <c r="W71" s="23"/>
      <c r="X71" s="23"/>
      <c r="Y71" s="23"/>
    </row>
    <row r="72">
      <c r="A72" s="23"/>
      <c r="B72" s="23"/>
      <c r="C72" s="49"/>
      <c r="D72" s="23"/>
      <c r="E72" s="23"/>
      <c r="F72" s="23"/>
      <c r="G72" s="23"/>
      <c r="H72" s="23"/>
      <c r="I72" s="23"/>
      <c r="J72" s="23"/>
      <c r="K72" s="23"/>
      <c r="L72" s="23"/>
      <c r="M72" s="23"/>
      <c r="N72" s="23"/>
      <c r="O72" s="23"/>
      <c r="P72" s="23"/>
      <c r="Q72" s="23"/>
      <c r="R72" s="23"/>
      <c r="S72" s="23"/>
      <c r="T72" s="23"/>
      <c r="U72" s="23"/>
      <c r="V72" s="23"/>
      <c r="W72" s="23"/>
      <c r="X72" s="23"/>
      <c r="Y72" s="23"/>
    </row>
    <row r="73">
      <c r="A73" s="23"/>
      <c r="B73" s="23"/>
      <c r="C73" s="49"/>
      <c r="D73" s="23"/>
      <c r="E73" s="23"/>
      <c r="F73" s="23"/>
      <c r="G73" s="23"/>
      <c r="H73" s="23"/>
      <c r="I73" s="23"/>
      <c r="J73" s="23"/>
      <c r="K73" s="23"/>
      <c r="L73" s="23"/>
      <c r="M73" s="23"/>
      <c r="N73" s="23"/>
      <c r="O73" s="23"/>
      <c r="P73" s="23"/>
      <c r="Q73" s="23"/>
      <c r="R73" s="23"/>
      <c r="S73" s="23"/>
      <c r="T73" s="23"/>
      <c r="U73" s="23"/>
      <c r="V73" s="23"/>
      <c r="W73" s="23"/>
      <c r="X73" s="23"/>
      <c r="Y73" s="23"/>
    </row>
    <row r="74">
      <c r="A74" s="23"/>
      <c r="B74" s="23"/>
      <c r="C74" s="49"/>
      <c r="D74" s="23"/>
      <c r="E74" s="23"/>
      <c r="F74" s="23"/>
      <c r="G74" s="23"/>
      <c r="H74" s="23"/>
      <c r="I74" s="23"/>
      <c r="J74" s="23"/>
      <c r="K74" s="23"/>
      <c r="L74" s="23"/>
      <c r="M74" s="23"/>
      <c r="N74" s="23"/>
      <c r="O74" s="23"/>
      <c r="P74" s="23"/>
      <c r="Q74" s="23"/>
      <c r="R74" s="23"/>
      <c r="S74" s="23"/>
      <c r="T74" s="23"/>
      <c r="U74" s="23"/>
      <c r="V74" s="23"/>
      <c r="W74" s="23"/>
      <c r="X74" s="23"/>
      <c r="Y74" s="23"/>
    </row>
    <row r="75">
      <c r="A75" s="23"/>
      <c r="B75" s="23"/>
      <c r="C75" s="49"/>
      <c r="D75" s="23"/>
      <c r="E75" s="23"/>
      <c r="F75" s="23"/>
      <c r="G75" s="23"/>
      <c r="H75" s="23"/>
      <c r="I75" s="23"/>
      <c r="J75" s="23"/>
      <c r="K75" s="23"/>
      <c r="L75" s="23"/>
      <c r="M75" s="23"/>
      <c r="N75" s="23"/>
      <c r="O75" s="23"/>
      <c r="P75" s="23"/>
      <c r="Q75" s="23"/>
      <c r="R75" s="23"/>
      <c r="S75" s="23"/>
      <c r="T75" s="23"/>
      <c r="U75" s="23"/>
      <c r="V75" s="23"/>
      <c r="W75" s="23"/>
      <c r="X75" s="23"/>
      <c r="Y75" s="23"/>
    </row>
    <row r="76">
      <c r="A76" s="23"/>
      <c r="B76" s="23"/>
      <c r="C76" s="49"/>
      <c r="D76" s="23"/>
      <c r="E76" s="23"/>
      <c r="F76" s="23"/>
      <c r="G76" s="23"/>
      <c r="H76" s="23"/>
      <c r="I76" s="23"/>
      <c r="J76" s="23"/>
      <c r="K76" s="23"/>
      <c r="L76" s="23"/>
      <c r="M76" s="23"/>
      <c r="N76" s="23"/>
      <c r="O76" s="23"/>
      <c r="P76" s="23"/>
      <c r="Q76" s="23"/>
      <c r="R76" s="23"/>
      <c r="S76" s="23"/>
      <c r="T76" s="23"/>
      <c r="U76" s="23"/>
      <c r="V76" s="23"/>
      <c r="W76" s="23"/>
      <c r="X76" s="23"/>
      <c r="Y76" s="23"/>
    </row>
    <row r="77">
      <c r="A77" s="23"/>
      <c r="B77" s="23"/>
      <c r="C77" s="49"/>
      <c r="D77" s="23"/>
      <c r="E77" s="23"/>
      <c r="F77" s="23"/>
      <c r="G77" s="23"/>
      <c r="H77" s="23"/>
      <c r="I77" s="23"/>
      <c r="J77" s="23"/>
      <c r="K77" s="23"/>
      <c r="L77" s="23"/>
      <c r="M77" s="23"/>
      <c r="N77" s="23"/>
      <c r="O77" s="23"/>
      <c r="P77" s="23"/>
      <c r="Q77" s="23"/>
      <c r="R77" s="23"/>
      <c r="S77" s="23"/>
      <c r="T77" s="23"/>
      <c r="U77" s="23"/>
      <c r="V77" s="23"/>
      <c r="W77" s="23"/>
      <c r="X77" s="23"/>
      <c r="Y77" s="23"/>
    </row>
    <row r="78">
      <c r="A78" s="23"/>
      <c r="B78" s="23"/>
      <c r="C78" s="49"/>
      <c r="D78" s="23"/>
      <c r="E78" s="23"/>
      <c r="F78" s="23"/>
      <c r="G78" s="23"/>
      <c r="H78" s="23"/>
      <c r="I78" s="23"/>
      <c r="J78" s="23"/>
      <c r="K78" s="23"/>
      <c r="L78" s="23"/>
      <c r="M78" s="23"/>
      <c r="N78" s="23"/>
      <c r="O78" s="23"/>
      <c r="P78" s="23"/>
      <c r="Q78" s="23"/>
      <c r="R78" s="23"/>
      <c r="S78" s="23"/>
      <c r="T78" s="23"/>
      <c r="U78" s="23"/>
      <c r="V78" s="23"/>
      <c r="W78" s="23"/>
      <c r="X78" s="23"/>
      <c r="Y78" s="23"/>
    </row>
    <row r="79">
      <c r="A79" s="23"/>
      <c r="B79" s="23"/>
      <c r="C79" s="49"/>
      <c r="D79" s="23"/>
      <c r="E79" s="23"/>
      <c r="F79" s="23"/>
      <c r="G79" s="23"/>
      <c r="H79" s="23"/>
      <c r="I79" s="23"/>
      <c r="J79" s="23"/>
      <c r="K79" s="23"/>
      <c r="L79" s="23"/>
      <c r="M79" s="23"/>
      <c r="N79" s="23"/>
      <c r="O79" s="23"/>
      <c r="P79" s="23"/>
      <c r="Q79" s="23"/>
      <c r="R79" s="23"/>
      <c r="S79" s="23"/>
      <c r="T79" s="23"/>
      <c r="U79" s="23"/>
      <c r="V79" s="23"/>
      <c r="W79" s="23"/>
      <c r="X79" s="23"/>
      <c r="Y79" s="23"/>
    </row>
    <row r="80">
      <c r="A80" s="23"/>
      <c r="B80" s="23"/>
      <c r="C80" s="49"/>
      <c r="D80" s="23"/>
      <c r="E80" s="23"/>
      <c r="F80" s="23"/>
      <c r="G80" s="23"/>
      <c r="H80" s="23"/>
      <c r="I80" s="23"/>
      <c r="J80" s="23"/>
      <c r="K80" s="23"/>
      <c r="L80" s="23"/>
      <c r="M80" s="23"/>
      <c r="N80" s="23"/>
      <c r="O80" s="23"/>
      <c r="P80" s="23"/>
      <c r="Q80" s="23"/>
      <c r="R80" s="23"/>
      <c r="S80" s="23"/>
      <c r="T80" s="23"/>
      <c r="U80" s="23"/>
      <c r="V80" s="23"/>
      <c r="W80" s="23"/>
      <c r="X80" s="23"/>
      <c r="Y80" s="23"/>
    </row>
    <row r="81">
      <c r="A81" s="23"/>
      <c r="B81" s="23"/>
      <c r="C81" s="49"/>
      <c r="D81" s="23"/>
      <c r="E81" s="23"/>
      <c r="F81" s="23"/>
      <c r="G81" s="23"/>
      <c r="H81" s="23"/>
      <c r="I81" s="23"/>
      <c r="J81" s="23"/>
      <c r="K81" s="23"/>
      <c r="L81" s="23"/>
      <c r="M81" s="23"/>
      <c r="N81" s="23"/>
      <c r="O81" s="23"/>
      <c r="P81" s="23"/>
      <c r="Q81" s="23"/>
      <c r="R81" s="23"/>
      <c r="S81" s="23"/>
      <c r="T81" s="23"/>
      <c r="U81" s="23"/>
      <c r="V81" s="23"/>
      <c r="W81" s="23"/>
      <c r="X81" s="23"/>
      <c r="Y81" s="23"/>
    </row>
    <row r="82">
      <c r="A82" s="23"/>
      <c r="B82" s="23"/>
      <c r="C82" s="49"/>
      <c r="D82" s="23"/>
      <c r="E82" s="23"/>
      <c r="F82" s="23"/>
      <c r="G82" s="23"/>
      <c r="H82" s="23"/>
      <c r="I82" s="23"/>
      <c r="J82" s="23"/>
      <c r="K82" s="23"/>
      <c r="L82" s="23"/>
      <c r="M82" s="23"/>
      <c r="N82" s="23"/>
      <c r="O82" s="23"/>
      <c r="P82" s="23"/>
      <c r="Q82" s="23"/>
      <c r="R82" s="23"/>
      <c r="S82" s="23"/>
      <c r="T82" s="23"/>
      <c r="U82" s="23"/>
      <c r="V82" s="23"/>
      <c r="W82" s="23"/>
      <c r="X82" s="23"/>
      <c r="Y82" s="23"/>
    </row>
    <row r="83">
      <c r="A83" s="23"/>
      <c r="B83" s="23"/>
      <c r="C83" s="49"/>
      <c r="D83" s="23"/>
      <c r="E83" s="23"/>
      <c r="F83" s="23"/>
      <c r="G83" s="23"/>
      <c r="H83" s="23"/>
      <c r="I83" s="23"/>
      <c r="J83" s="23"/>
      <c r="K83" s="23"/>
      <c r="L83" s="23"/>
      <c r="M83" s="23"/>
      <c r="N83" s="23"/>
      <c r="O83" s="23"/>
      <c r="P83" s="23"/>
      <c r="Q83" s="23"/>
      <c r="R83" s="23"/>
      <c r="S83" s="23"/>
      <c r="T83" s="23"/>
      <c r="U83" s="23"/>
      <c r="V83" s="23"/>
      <c r="W83" s="23"/>
      <c r="X83" s="23"/>
      <c r="Y83" s="23"/>
    </row>
    <row r="84">
      <c r="A84" s="23"/>
      <c r="B84" s="23"/>
      <c r="C84" s="49"/>
      <c r="D84" s="23"/>
      <c r="E84" s="23"/>
      <c r="F84" s="23"/>
      <c r="G84" s="23"/>
      <c r="H84" s="23"/>
      <c r="I84" s="23"/>
      <c r="J84" s="23"/>
      <c r="K84" s="23"/>
      <c r="L84" s="23"/>
      <c r="M84" s="23"/>
      <c r="N84" s="23"/>
      <c r="O84" s="23"/>
      <c r="P84" s="23"/>
      <c r="Q84" s="23"/>
      <c r="R84" s="23"/>
      <c r="S84" s="23"/>
      <c r="T84" s="23"/>
      <c r="U84" s="23"/>
      <c r="V84" s="23"/>
      <c r="W84" s="23"/>
      <c r="X84" s="23"/>
      <c r="Y84" s="23"/>
    </row>
    <row r="85">
      <c r="A85" s="23"/>
      <c r="B85" s="23"/>
      <c r="C85" s="49"/>
      <c r="D85" s="23"/>
      <c r="E85" s="23"/>
      <c r="F85" s="23"/>
      <c r="G85" s="23"/>
      <c r="H85" s="23"/>
      <c r="I85" s="23"/>
      <c r="J85" s="23"/>
      <c r="K85" s="23"/>
      <c r="L85" s="23"/>
      <c r="M85" s="23"/>
      <c r="N85" s="23"/>
      <c r="O85" s="23"/>
      <c r="P85" s="23"/>
      <c r="Q85" s="23"/>
      <c r="R85" s="23"/>
      <c r="S85" s="23"/>
      <c r="T85" s="23"/>
      <c r="U85" s="23"/>
      <c r="V85" s="23"/>
      <c r="W85" s="23"/>
      <c r="X85" s="23"/>
      <c r="Y85" s="23"/>
    </row>
    <row r="86">
      <c r="A86" s="23"/>
      <c r="B86" s="23"/>
      <c r="C86" s="49"/>
      <c r="D86" s="23"/>
      <c r="E86" s="23"/>
      <c r="F86" s="23"/>
      <c r="G86" s="23"/>
      <c r="H86" s="23"/>
      <c r="I86" s="23"/>
      <c r="J86" s="23"/>
      <c r="K86" s="23"/>
      <c r="L86" s="23"/>
      <c r="M86" s="23"/>
      <c r="N86" s="23"/>
      <c r="O86" s="23"/>
      <c r="P86" s="23"/>
      <c r="Q86" s="23"/>
      <c r="R86" s="23"/>
      <c r="S86" s="23"/>
      <c r="T86" s="23"/>
      <c r="U86" s="23"/>
      <c r="V86" s="23"/>
      <c r="W86" s="23"/>
      <c r="X86" s="23"/>
      <c r="Y86" s="23"/>
    </row>
    <row r="87">
      <c r="A87" s="23"/>
      <c r="B87" s="23"/>
      <c r="C87" s="49"/>
      <c r="D87" s="23"/>
      <c r="E87" s="23"/>
      <c r="F87" s="23"/>
      <c r="G87" s="23"/>
      <c r="H87" s="23"/>
      <c r="I87" s="23"/>
      <c r="J87" s="23"/>
      <c r="K87" s="23"/>
      <c r="L87" s="23"/>
      <c r="M87" s="23"/>
      <c r="N87" s="23"/>
      <c r="O87" s="23"/>
      <c r="P87" s="23"/>
      <c r="Q87" s="23"/>
      <c r="R87" s="23"/>
      <c r="S87" s="23"/>
      <c r="T87" s="23"/>
      <c r="U87" s="23"/>
      <c r="V87" s="23"/>
      <c r="W87" s="23"/>
      <c r="X87" s="23"/>
      <c r="Y87" s="23"/>
    </row>
    <row r="88">
      <c r="A88" s="23"/>
      <c r="B88" s="23"/>
      <c r="C88" s="49"/>
      <c r="D88" s="23"/>
      <c r="E88" s="23"/>
      <c r="F88" s="23"/>
      <c r="G88" s="23"/>
      <c r="H88" s="23"/>
      <c r="I88" s="23"/>
      <c r="J88" s="23"/>
      <c r="K88" s="23"/>
      <c r="L88" s="23"/>
      <c r="M88" s="23"/>
      <c r="N88" s="23"/>
      <c r="O88" s="23"/>
      <c r="P88" s="23"/>
      <c r="Q88" s="23"/>
      <c r="R88" s="23"/>
      <c r="S88" s="23"/>
      <c r="T88" s="23"/>
      <c r="U88" s="23"/>
      <c r="V88" s="23"/>
      <c r="W88" s="23"/>
      <c r="X88" s="23"/>
      <c r="Y88" s="23"/>
    </row>
    <row r="89">
      <c r="A89" s="23"/>
      <c r="B89" s="23"/>
      <c r="C89" s="49"/>
      <c r="D89" s="23"/>
      <c r="E89" s="23"/>
      <c r="F89" s="23"/>
      <c r="G89" s="23"/>
      <c r="H89" s="23"/>
      <c r="I89" s="23"/>
      <c r="J89" s="23"/>
      <c r="K89" s="23"/>
      <c r="L89" s="23"/>
      <c r="M89" s="23"/>
      <c r="N89" s="23"/>
      <c r="O89" s="23"/>
      <c r="P89" s="23"/>
      <c r="Q89" s="23"/>
      <c r="R89" s="23"/>
      <c r="S89" s="23"/>
      <c r="T89" s="23"/>
      <c r="U89" s="23"/>
      <c r="V89" s="23"/>
      <c r="W89" s="23"/>
      <c r="X89" s="23"/>
      <c r="Y89" s="23"/>
    </row>
    <row r="90">
      <c r="A90" s="23"/>
      <c r="B90" s="23"/>
      <c r="C90" s="49"/>
      <c r="D90" s="23"/>
      <c r="E90" s="23"/>
      <c r="F90" s="23"/>
      <c r="G90" s="23"/>
      <c r="H90" s="23"/>
      <c r="I90" s="23"/>
      <c r="J90" s="23"/>
      <c r="K90" s="23"/>
      <c r="L90" s="23"/>
      <c r="M90" s="23"/>
      <c r="N90" s="23"/>
      <c r="O90" s="23"/>
      <c r="P90" s="23"/>
      <c r="Q90" s="23"/>
      <c r="R90" s="23"/>
      <c r="S90" s="23"/>
      <c r="T90" s="23"/>
      <c r="U90" s="23"/>
      <c r="V90" s="23"/>
      <c r="W90" s="23"/>
      <c r="X90" s="23"/>
      <c r="Y90" s="23"/>
    </row>
    <row r="91">
      <c r="A91" s="23"/>
      <c r="B91" s="23"/>
      <c r="C91" s="49"/>
      <c r="D91" s="23"/>
      <c r="E91" s="23"/>
      <c r="F91" s="23"/>
      <c r="G91" s="23"/>
      <c r="H91" s="23"/>
      <c r="I91" s="23"/>
      <c r="J91" s="23"/>
      <c r="K91" s="23"/>
      <c r="L91" s="23"/>
      <c r="M91" s="23"/>
      <c r="N91" s="23"/>
      <c r="O91" s="23"/>
      <c r="P91" s="23"/>
      <c r="Q91" s="23"/>
      <c r="R91" s="23"/>
      <c r="S91" s="23"/>
      <c r="T91" s="23"/>
      <c r="U91" s="23"/>
      <c r="V91" s="23"/>
      <c r="W91" s="23"/>
      <c r="X91" s="23"/>
      <c r="Y91" s="23"/>
    </row>
    <row r="92">
      <c r="A92" s="23"/>
      <c r="B92" s="23"/>
      <c r="C92" s="49"/>
      <c r="D92" s="23"/>
      <c r="E92" s="23"/>
      <c r="F92" s="23"/>
      <c r="G92" s="23"/>
      <c r="H92" s="23"/>
      <c r="I92" s="23"/>
      <c r="J92" s="23"/>
      <c r="K92" s="23"/>
      <c r="L92" s="23"/>
      <c r="M92" s="23"/>
      <c r="N92" s="23"/>
      <c r="O92" s="23"/>
      <c r="P92" s="23"/>
      <c r="Q92" s="23"/>
      <c r="R92" s="23"/>
      <c r="S92" s="23"/>
      <c r="T92" s="23"/>
      <c r="U92" s="23"/>
      <c r="V92" s="23"/>
      <c r="W92" s="23"/>
      <c r="X92" s="23"/>
      <c r="Y92" s="23"/>
    </row>
    <row r="93">
      <c r="A93" s="23"/>
      <c r="B93" s="23"/>
      <c r="C93" s="49"/>
      <c r="D93" s="23"/>
      <c r="E93" s="23"/>
      <c r="F93" s="23"/>
      <c r="G93" s="23"/>
      <c r="H93" s="23"/>
      <c r="I93" s="23"/>
      <c r="J93" s="23"/>
      <c r="K93" s="23"/>
      <c r="L93" s="23"/>
      <c r="M93" s="23"/>
      <c r="N93" s="23"/>
      <c r="O93" s="23"/>
      <c r="P93" s="23"/>
      <c r="Q93" s="23"/>
      <c r="R93" s="23"/>
      <c r="S93" s="23"/>
      <c r="T93" s="23"/>
      <c r="U93" s="23"/>
      <c r="V93" s="23"/>
      <c r="W93" s="23"/>
      <c r="X93" s="23"/>
      <c r="Y93" s="23"/>
    </row>
    <row r="94">
      <c r="A94" s="23"/>
      <c r="B94" s="23"/>
      <c r="C94" s="49"/>
      <c r="D94" s="23"/>
      <c r="E94" s="23"/>
      <c r="F94" s="23"/>
      <c r="G94" s="23"/>
      <c r="H94" s="23"/>
      <c r="I94" s="23"/>
      <c r="J94" s="23"/>
      <c r="K94" s="23"/>
      <c r="L94" s="23"/>
      <c r="M94" s="23"/>
      <c r="N94" s="23"/>
      <c r="O94" s="23"/>
      <c r="P94" s="23"/>
      <c r="Q94" s="23"/>
      <c r="R94" s="23"/>
      <c r="S94" s="23"/>
      <c r="T94" s="23"/>
      <c r="U94" s="23"/>
      <c r="V94" s="23"/>
      <c r="W94" s="23"/>
      <c r="X94" s="23"/>
      <c r="Y94" s="23"/>
    </row>
    <row r="95">
      <c r="A95" s="23"/>
      <c r="B95" s="23"/>
      <c r="C95" s="49"/>
      <c r="D95" s="23"/>
      <c r="E95" s="23"/>
      <c r="F95" s="23"/>
      <c r="G95" s="23"/>
      <c r="H95" s="23"/>
      <c r="I95" s="23"/>
      <c r="J95" s="23"/>
      <c r="K95" s="23"/>
      <c r="L95" s="23"/>
      <c r="M95" s="23"/>
      <c r="N95" s="23"/>
      <c r="O95" s="23"/>
      <c r="P95" s="23"/>
      <c r="Q95" s="23"/>
      <c r="R95" s="23"/>
      <c r="S95" s="23"/>
      <c r="T95" s="23"/>
      <c r="U95" s="23"/>
      <c r="V95" s="23"/>
      <c r="W95" s="23"/>
      <c r="X95" s="23"/>
      <c r="Y95" s="23"/>
    </row>
    <row r="96">
      <c r="A96" s="23"/>
      <c r="B96" s="23"/>
      <c r="C96" s="49"/>
      <c r="D96" s="23"/>
      <c r="E96" s="23"/>
      <c r="F96" s="23"/>
      <c r="G96" s="23"/>
      <c r="H96" s="23"/>
      <c r="I96" s="23"/>
      <c r="J96" s="23"/>
      <c r="K96" s="23"/>
      <c r="L96" s="23"/>
      <c r="M96" s="23"/>
      <c r="N96" s="23"/>
      <c r="O96" s="23"/>
      <c r="P96" s="23"/>
      <c r="Q96" s="23"/>
      <c r="R96" s="23"/>
      <c r="S96" s="23"/>
      <c r="T96" s="23"/>
      <c r="U96" s="23"/>
      <c r="V96" s="23"/>
      <c r="W96" s="23"/>
      <c r="X96" s="23"/>
      <c r="Y96" s="23"/>
    </row>
    <row r="97">
      <c r="A97" s="23"/>
      <c r="B97" s="23"/>
      <c r="C97" s="49"/>
      <c r="D97" s="23"/>
      <c r="E97" s="23"/>
      <c r="F97" s="23"/>
      <c r="G97" s="23"/>
      <c r="H97" s="23"/>
      <c r="I97" s="23"/>
      <c r="J97" s="23"/>
      <c r="K97" s="23"/>
      <c r="L97" s="23"/>
      <c r="M97" s="23"/>
      <c r="N97" s="23"/>
      <c r="O97" s="23"/>
      <c r="P97" s="23"/>
      <c r="Q97" s="23"/>
      <c r="R97" s="23"/>
      <c r="S97" s="23"/>
      <c r="T97" s="23"/>
      <c r="U97" s="23"/>
      <c r="V97" s="23"/>
      <c r="W97" s="23"/>
      <c r="X97" s="23"/>
      <c r="Y97" s="23"/>
    </row>
    <row r="98">
      <c r="A98" s="23"/>
      <c r="B98" s="23"/>
      <c r="C98" s="49"/>
      <c r="D98" s="23"/>
      <c r="E98" s="23"/>
      <c r="F98" s="23"/>
      <c r="G98" s="23"/>
      <c r="H98" s="23"/>
      <c r="I98" s="23"/>
      <c r="J98" s="23"/>
      <c r="K98" s="23"/>
      <c r="L98" s="23"/>
      <c r="M98" s="23"/>
      <c r="N98" s="23"/>
      <c r="O98" s="23"/>
      <c r="P98" s="23"/>
      <c r="Q98" s="23"/>
      <c r="R98" s="23"/>
      <c r="S98" s="23"/>
      <c r="T98" s="23"/>
      <c r="U98" s="23"/>
      <c r="V98" s="23"/>
      <c r="W98" s="23"/>
      <c r="X98" s="23"/>
      <c r="Y98" s="23"/>
    </row>
    <row r="99">
      <c r="A99" s="23"/>
      <c r="B99" s="23"/>
      <c r="C99" s="49"/>
      <c r="D99" s="23"/>
      <c r="E99" s="23"/>
      <c r="F99" s="23"/>
      <c r="G99" s="23"/>
      <c r="H99" s="23"/>
      <c r="I99" s="23"/>
      <c r="J99" s="23"/>
      <c r="K99" s="23"/>
      <c r="L99" s="23"/>
      <c r="M99" s="23"/>
      <c r="N99" s="23"/>
      <c r="O99" s="23"/>
      <c r="P99" s="23"/>
      <c r="Q99" s="23"/>
      <c r="R99" s="23"/>
      <c r="S99" s="23"/>
      <c r="T99" s="23"/>
      <c r="U99" s="23"/>
      <c r="V99" s="23"/>
      <c r="W99" s="23"/>
      <c r="X99" s="23"/>
      <c r="Y99" s="23"/>
    </row>
    <row r="100">
      <c r="A100" s="23"/>
      <c r="B100" s="23"/>
      <c r="C100" s="49"/>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3"/>
      <c r="B101" s="23"/>
      <c r="C101" s="49"/>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3"/>
      <c r="B102" s="23"/>
      <c r="C102" s="49"/>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3"/>
      <c r="B103" s="23"/>
      <c r="C103" s="49"/>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3"/>
      <c r="B104" s="23"/>
      <c r="C104" s="49"/>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3"/>
      <c r="B105" s="23"/>
      <c r="C105" s="49"/>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3"/>
      <c r="B106" s="23"/>
      <c r="C106" s="49"/>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3"/>
      <c r="B107" s="23"/>
      <c r="C107" s="49"/>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3"/>
      <c r="B108" s="23"/>
      <c r="C108" s="49"/>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3"/>
      <c r="B109" s="23"/>
      <c r="C109" s="49"/>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3"/>
      <c r="B110" s="23"/>
      <c r="C110" s="49"/>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3"/>
      <c r="B111" s="23"/>
      <c r="C111" s="49"/>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3"/>
      <c r="B112" s="23"/>
      <c r="C112" s="49"/>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3"/>
      <c r="B113" s="23"/>
      <c r="C113" s="49"/>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3"/>
      <c r="B114" s="23"/>
      <c r="C114" s="49"/>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3"/>
      <c r="B115" s="23"/>
      <c r="C115" s="49"/>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3"/>
      <c r="B116" s="23"/>
      <c r="C116" s="49"/>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3"/>
      <c r="B117" s="23"/>
      <c r="C117" s="49"/>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3"/>
      <c r="B118" s="23"/>
      <c r="C118" s="49"/>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3"/>
      <c r="B119" s="23"/>
      <c r="C119" s="49"/>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3"/>
      <c r="B120" s="23"/>
      <c r="C120" s="49"/>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3"/>
      <c r="B121" s="23"/>
      <c r="C121" s="49"/>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3"/>
      <c r="B122" s="23"/>
      <c r="C122" s="49"/>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3"/>
      <c r="B123" s="23"/>
      <c r="C123" s="49"/>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3"/>
      <c r="B124" s="23"/>
      <c r="C124" s="49"/>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3"/>
      <c r="B125" s="23"/>
      <c r="C125" s="49"/>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3"/>
      <c r="B126" s="23"/>
      <c r="C126" s="49"/>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3"/>
      <c r="B127" s="23"/>
      <c r="C127" s="49"/>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3"/>
      <c r="B128" s="23"/>
      <c r="C128" s="49"/>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3"/>
      <c r="B129" s="23"/>
      <c r="C129" s="49"/>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3"/>
      <c r="B130" s="23"/>
      <c r="C130" s="49"/>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3"/>
      <c r="B131" s="23"/>
      <c r="C131" s="49"/>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3"/>
      <c r="B132" s="23"/>
      <c r="C132" s="49"/>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3"/>
      <c r="B133" s="23"/>
      <c r="C133" s="49"/>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3"/>
      <c r="B134" s="23"/>
      <c r="C134" s="49"/>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3"/>
      <c r="B135" s="23"/>
      <c r="C135" s="49"/>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3"/>
      <c r="B136" s="23"/>
      <c r="C136" s="49"/>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3"/>
      <c r="B137" s="23"/>
      <c r="C137" s="49"/>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3"/>
      <c r="B138" s="23"/>
      <c r="C138" s="49"/>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3"/>
      <c r="B139" s="23"/>
      <c r="C139" s="49"/>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3"/>
      <c r="B140" s="23"/>
      <c r="C140" s="49"/>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3"/>
      <c r="B141" s="23"/>
      <c r="C141" s="49"/>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3"/>
      <c r="B142" s="23"/>
      <c r="C142" s="49"/>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3"/>
      <c r="B143" s="23"/>
      <c r="C143" s="49"/>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3"/>
      <c r="B144" s="23"/>
      <c r="C144" s="49"/>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3"/>
      <c r="B145" s="23"/>
      <c r="C145" s="49"/>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3"/>
      <c r="B146" s="23"/>
      <c r="C146" s="49"/>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3"/>
      <c r="B147" s="23"/>
      <c r="C147" s="49"/>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3"/>
      <c r="B148" s="23"/>
      <c r="C148" s="49"/>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3"/>
      <c r="B149" s="23"/>
      <c r="C149" s="49"/>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3"/>
      <c r="B150" s="23"/>
      <c r="C150" s="49"/>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3"/>
      <c r="B151" s="23"/>
      <c r="C151" s="49"/>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3"/>
      <c r="B152" s="23"/>
      <c r="C152" s="49"/>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3"/>
      <c r="B153" s="23"/>
      <c r="C153" s="49"/>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3"/>
      <c r="B154" s="23"/>
      <c r="C154" s="49"/>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3"/>
      <c r="B155" s="23"/>
      <c r="C155" s="49"/>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3"/>
      <c r="B156" s="23"/>
      <c r="C156" s="49"/>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3"/>
      <c r="B157" s="23"/>
      <c r="C157" s="49"/>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3"/>
      <c r="B158" s="23"/>
      <c r="C158" s="49"/>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3"/>
      <c r="B159" s="23"/>
      <c r="C159" s="49"/>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3"/>
      <c r="B160" s="23"/>
      <c r="C160" s="49"/>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3"/>
      <c r="B161" s="23"/>
      <c r="C161" s="49"/>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3"/>
      <c r="B162" s="23"/>
      <c r="C162" s="49"/>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3"/>
      <c r="B163" s="23"/>
      <c r="C163" s="49"/>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3"/>
      <c r="B164" s="23"/>
      <c r="C164" s="49"/>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3"/>
      <c r="B165" s="23"/>
      <c r="C165" s="49"/>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3"/>
      <c r="B166" s="23"/>
      <c r="C166" s="49"/>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3"/>
      <c r="B167" s="23"/>
      <c r="C167" s="49"/>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3"/>
      <c r="B168" s="23"/>
      <c r="C168" s="49"/>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3"/>
      <c r="B169" s="23"/>
      <c r="C169" s="49"/>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3"/>
      <c r="B170" s="23"/>
      <c r="C170" s="49"/>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3"/>
      <c r="B171" s="23"/>
      <c r="C171" s="49"/>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3"/>
      <c r="B172" s="23"/>
      <c r="C172" s="49"/>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3"/>
      <c r="B173" s="23"/>
      <c r="C173" s="49"/>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3"/>
      <c r="B174" s="23"/>
      <c r="C174" s="49"/>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3"/>
      <c r="B175" s="23"/>
      <c r="C175" s="49"/>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3"/>
      <c r="B176" s="23"/>
      <c r="C176" s="49"/>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3"/>
      <c r="B177" s="23"/>
      <c r="C177" s="49"/>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3"/>
      <c r="B178" s="23"/>
      <c r="C178" s="49"/>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3"/>
      <c r="B179" s="23"/>
      <c r="C179" s="49"/>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3"/>
      <c r="B180" s="23"/>
      <c r="C180" s="49"/>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3"/>
      <c r="B181" s="23"/>
      <c r="C181" s="49"/>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3"/>
      <c r="B182" s="23"/>
      <c r="C182" s="49"/>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3"/>
      <c r="B183" s="23"/>
      <c r="C183" s="49"/>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3"/>
      <c r="B184" s="23"/>
      <c r="C184" s="49"/>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3"/>
      <c r="B185" s="23"/>
      <c r="C185" s="49"/>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3"/>
      <c r="B186" s="23"/>
      <c r="C186" s="49"/>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3"/>
      <c r="B187" s="23"/>
      <c r="C187" s="49"/>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3"/>
      <c r="B188" s="23"/>
      <c r="C188" s="49"/>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3"/>
      <c r="B189" s="23"/>
      <c r="C189" s="49"/>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3"/>
      <c r="B190" s="23"/>
      <c r="C190" s="49"/>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3"/>
      <c r="B191" s="23"/>
      <c r="C191" s="49"/>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3"/>
      <c r="B192" s="23"/>
      <c r="C192" s="49"/>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3"/>
      <c r="B193" s="23"/>
      <c r="C193" s="49"/>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3"/>
      <c r="B194" s="23"/>
      <c r="C194" s="49"/>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3"/>
      <c r="B195" s="23"/>
      <c r="C195" s="49"/>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3"/>
      <c r="B196" s="23"/>
      <c r="C196" s="49"/>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3"/>
      <c r="B197" s="23"/>
      <c r="C197" s="49"/>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3"/>
      <c r="B198" s="23"/>
      <c r="C198" s="49"/>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3"/>
      <c r="B199" s="23"/>
      <c r="C199" s="49"/>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3"/>
      <c r="B200" s="23"/>
      <c r="C200" s="49"/>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3"/>
      <c r="B201" s="23"/>
      <c r="C201" s="49"/>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3"/>
      <c r="B202" s="23"/>
      <c r="C202" s="49"/>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3"/>
      <c r="B203" s="23"/>
      <c r="C203" s="49"/>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3"/>
      <c r="B204" s="23"/>
      <c r="C204" s="49"/>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3"/>
      <c r="B205" s="23"/>
      <c r="C205" s="49"/>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3"/>
      <c r="B206" s="23"/>
      <c r="C206" s="49"/>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3"/>
      <c r="B207" s="23"/>
      <c r="C207" s="49"/>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3"/>
      <c r="B208" s="23"/>
      <c r="C208" s="49"/>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3"/>
      <c r="B209" s="23"/>
      <c r="C209" s="49"/>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3"/>
      <c r="B210" s="23"/>
      <c r="C210" s="49"/>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3"/>
      <c r="B211" s="23"/>
      <c r="C211" s="49"/>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3"/>
      <c r="B212" s="23"/>
      <c r="C212" s="49"/>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3"/>
      <c r="B213" s="23"/>
      <c r="C213" s="49"/>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3"/>
      <c r="B214" s="23"/>
      <c r="C214" s="49"/>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3"/>
      <c r="B215" s="23"/>
      <c r="C215" s="49"/>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3"/>
      <c r="B216" s="23"/>
      <c r="C216" s="49"/>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3"/>
      <c r="B217" s="23"/>
      <c r="C217" s="49"/>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3"/>
      <c r="B218" s="23"/>
      <c r="C218" s="49"/>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3"/>
      <c r="B219" s="23"/>
      <c r="C219" s="49"/>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3"/>
      <c r="B220" s="23"/>
      <c r="C220" s="49"/>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3"/>
      <c r="B221" s="23"/>
      <c r="C221" s="49"/>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3"/>
      <c r="B222" s="23"/>
      <c r="C222" s="49"/>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3"/>
      <c r="B223" s="23"/>
      <c r="C223" s="49"/>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3"/>
      <c r="B224" s="23"/>
      <c r="C224" s="49"/>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3"/>
      <c r="B225" s="23"/>
      <c r="C225" s="49"/>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3"/>
      <c r="B226" s="23"/>
      <c r="C226" s="49"/>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3"/>
      <c r="B227" s="23"/>
      <c r="C227" s="49"/>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3"/>
      <c r="B228" s="23"/>
      <c r="C228" s="49"/>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3"/>
      <c r="B229" s="23"/>
      <c r="C229" s="49"/>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3"/>
      <c r="B230" s="23"/>
      <c r="C230" s="49"/>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3"/>
      <c r="B231" s="23"/>
      <c r="C231" s="49"/>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3"/>
      <c r="B232" s="23"/>
      <c r="C232" s="49"/>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3"/>
      <c r="B233" s="23"/>
      <c r="C233" s="49"/>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3"/>
      <c r="B234" s="23"/>
      <c r="C234" s="49"/>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3"/>
      <c r="B235" s="23"/>
      <c r="C235" s="49"/>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3"/>
      <c r="B236" s="23"/>
      <c r="C236" s="49"/>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3"/>
      <c r="B237" s="23"/>
      <c r="C237" s="49"/>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3"/>
      <c r="B238" s="23"/>
      <c r="C238" s="49"/>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3"/>
      <c r="B239" s="23"/>
      <c r="C239" s="49"/>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3"/>
      <c r="B240" s="23"/>
      <c r="C240" s="49"/>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3"/>
      <c r="B241" s="23"/>
      <c r="C241" s="49"/>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3"/>
      <c r="B242" s="23"/>
      <c r="C242" s="49"/>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3"/>
      <c r="B243" s="23"/>
      <c r="C243" s="49"/>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3"/>
      <c r="B244" s="23"/>
      <c r="C244" s="49"/>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3"/>
      <c r="B245" s="23"/>
      <c r="C245" s="49"/>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3"/>
      <c r="B246" s="23"/>
      <c r="C246" s="49"/>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3"/>
      <c r="B247" s="23"/>
      <c r="C247" s="49"/>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3"/>
      <c r="B248" s="23"/>
      <c r="C248" s="49"/>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3"/>
      <c r="B249" s="23"/>
      <c r="C249" s="49"/>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3"/>
      <c r="B250" s="23"/>
      <c r="C250" s="49"/>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3"/>
      <c r="B251" s="23"/>
      <c r="C251" s="49"/>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3"/>
      <c r="B252" s="23"/>
      <c r="C252" s="49"/>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3"/>
      <c r="B253" s="23"/>
      <c r="C253" s="49"/>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3"/>
      <c r="B254" s="23"/>
      <c r="C254" s="49"/>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3"/>
      <c r="B255" s="23"/>
      <c r="C255" s="49"/>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3"/>
      <c r="B256" s="23"/>
      <c r="C256" s="49"/>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3"/>
      <c r="B257" s="23"/>
      <c r="C257" s="49"/>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3"/>
      <c r="B258" s="23"/>
      <c r="C258" s="49"/>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3"/>
      <c r="B259" s="23"/>
      <c r="C259" s="49"/>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3"/>
      <c r="B260" s="23"/>
      <c r="C260" s="49"/>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3"/>
      <c r="B261" s="23"/>
      <c r="C261" s="49"/>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3"/>
      <c r="B262" s="23"/>
      <c r="C262" s="49"/>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3"/>
      <c r="B263" s="23"/>
      <c r="C263" s="49"/>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3"/>
      <c r="B264" s="23"/>
      <c r="C264" s="49"/>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3"/>
      <c r="B265" s="23"/>
      <c r="C265" s="49"/>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3"/>
      <c r="B266" s="23"/>
      <c r="C266" s="49"/>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3"/>
      <c r="B267" s="23"/>
      <c r="C267" s="49"/>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3"/>
      <c r="B268" s="23"/>
      <c r="C268" s="49"/>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3"/>
      <c r="B269" s="23"/>
      <c r="C269" s="49"/>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3"/>
      <c r="B270" s="23"/>
      <c r="C270" s="49"/>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3"/>
      <c r="B271" s="23"/>
      <c r="C271" s="49"/>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3"/>
      <c r="B272" s="23"/>
      <c r="C272" s="49"/>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3"/>
      <c r="B273" s="23"/>
      <c r="C273" s="49"/>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3"/>
      <c r="B274" s="23"/>
      <c r="C274" s="49"/>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3"/>
      <c r="B275" s="23"/>
      <c r="C275" s="49"/>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3"/>
      <c r="B276" s="23"/>
      <c r="C276" s="49"/>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3"/>
      <c r="B277" s="23"/>
      <c r="C277" s="49"/>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3"/>
      <c r="B278" s="23"/>
      <c r="C278" s="49"/>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3"/>
      <c r="B279" s="23"/>
      <c r="C279" s="49"/>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3"/>
      <c r="B280" s="23"/>
      <c r="C280" s="49"/>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3"/>
      <c r="B281" s="23"/>
      <c r="C281" s="49"/>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3"/>
      <c r="B282" s="23"/>
      <c r="C282" s="49"/>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3"/>
      <c r="B283" s="23"/>
      <c r="C283" s="49"/>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3"/>
      <c r="B284" s="23"/>
      <c r="C284" s="49"/>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3"/>
      <c r="B285" s="23"/>
      <c r="C285" s="49"/>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3"/>
      <c r="B286" s="23"/>
      <c r="C286" s="49"/>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3"/>
      <c r="B287" s="23"/>
      <c r="C287" s="49"/>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3"/>
      <c r="B288" s="23"/>
      <c r="C288" s="49"/>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3"/>
      <c r="B289" s="23"/>
      <c r="C289" s="49"/>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3"/>
      <c r="B290" s="23"/>
      <c r="C290" s="49"/>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3"/>
      <c r="B291" s="23"/>
      <c r="C291" s="49"/>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3"/>
      <c r="B292" s="23"/>
      <c r="C292" s="49"/>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3"/>
      <c r="B293" s="23"/>
      <c r="C293" s="49"/>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3"/>
      <c r="B294" s="23"/>
      <c r="C294" s="49"/>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3"/>
      <c r="B295" s="23"/>
      <c r="C295" s="49"/>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3"/>
      <c r="B296" s="23"/>
      <c r="C296" s="49"/>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3"/>
      <c r="B297" s="23"/>
      <c r="C297" s="49"/>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3"/>
      <c r="B298" s="23"/>
      <c r="C298" s="49"/>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3"/>
      <c r="B299" s="23"/>
      <c r="C299" s="49"/>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3"/>
      <c r="B300" s="23"/>
      <c r="C300" s="49"/>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3"/>
      <c r="B301" s="23"/>
      <c r="C301" s="49"/>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3"/>
      <c r="B302" s="23"/>
      <c r="C302" s="49"/>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3"/>
      <c r="B303" s="23"/>
      <c r="C303" s="49"/>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3"/>
      <c r="B304" s="23"/>
      <c r="C304" s="49"/>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3"/>
      <c r="B305" s="23"/>
      <c r="C305" s="49"/>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3"/>
      <c r="B306" s="23"/>
      <c r="C306" s="49"/>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3"/>
      <c r="B307" s="23"/>
      <c r="C307" s="49"/>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3"/>
      <c r="B308" s="23"/>
      <c r="C308" s="49"/>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3"/>
      <c r="B309" s="23"/>
      <c r="C309" s="49"/>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3"/>
      <c r="B310" s="23"/>
      <c r="C310" s="49"/>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3"/>
      <c r="B311" s="23"/>
      <c r="C311" s="49"/>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3"/>
      <c r="B312" s="23"/>
      <c r="C312" s="49"/>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3"/>
      <c r="B313" s="23"/>
      <c r="C313" s="49"/>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3"/>
      <c r="B314" s="23"/>
      <c r="C314" s="49"/>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3"/>
      <c r="B315" s="23"/>
      <c r="C315" s="49"/>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3"/>
      <c r="B316" s="23"/>
      <c r="C316" s="49"/>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3"/>
      <c r="B317" s="23"/>
      <c r="C317" s="49"/>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3"/>
      <c r="B318" s="23"/>
      <c r="C318" s="49"/>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3"/>
      <c r="B319" s="23"/>
      <c r="C319" s="49"/>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3"/>
      <c r="B320" s="23"/>
      <c r="C320" s="49"/>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3"/>
      <c r="B321" s="23"/>
      <c r="C321" s="49"/>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3"/>
      <c r="B322" s="23"/>
      <c r="C322" s="49"/>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3"/>
      <c r="B323" s="23"/>
      <c r="C323" s="49"/>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3"/>
      <c r="B324" s="23"/>
      <c r="C324" s="49"/>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3"/>
      <c r="B325" s="23"/>
      <c r="C325" s="49"/>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3"/>
      <c r="B326" s="23"/>
      <c r="C326" s="49"/>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3"/>
      <c r="B327" s="23"/>
      <c r="C327" s="49"/>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3"/>
      <c r="B328" s="23"/>
      <c r="C328" s="49"/>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3"/>
      <c r="B329" s="23"/>
      <c r="C329" s="49"/>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3"/>
      <c r="B330" s="23"/>
      <c r="C330" s="49"/>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3"/>
      <c r="B331" s="23"/>
      <c r="C331" s="49"/>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3"/>
      <c r="B332" s="23"/>
      <c r="C332" s="49"/>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3"/>
      <c r="B333" s="23"/>
      <c r="C333" s="49"/>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3"/>
      <c r="B334" s="23"/>
      <c r="C334" s="49"/>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3"/>
      <c r="B335" s="23"/>
      <c r="C335" s="49"/>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3"/>
      <c r="B336" s="23"/>
      <c r="C336" s="49"/>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3"/>
      <c r="B337" s="23"/>
      <c r="C337" s="49"/>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3"/>
      <c r="B338" s="23"/>
      <c r="C338" s="49"/>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3"/>
      <c r="B339" s="23"/>
      <c r="C339" s="49"/>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3"/>
      <c r="B340" s="23"/>
      <c r="C340" s="49"/>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3"/>
      <c r="B341" s="23"/>
      <c r="C341" s="49"/>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3"/>
      <c r="B342" s="23"/>
      <c r="C342" s="49"/>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3"/>
      <c r="B343" s="23"/>
      <c r="C343" s="49"/>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3"/>
      <c r="B344" s="23"/>
      <c r="C344" s="49"/>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3"/>
      <c r="B345" s="23"/>
      <c r="C345" s="49"/>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3"/>
      <c r="B346" s="23"/>
      <c r="C346" s="49"/>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3"/>
      <c r="B347" s="23"/>
      <c r="C347" s="49"/>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3"/>
      <c r="B348" s="23"/>
      <c r="C348" s="49"/>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3"/>
      <c r="B349" s="23"/>
      <c r="C349" s="49"/>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3"/>
      <c r="B350" s="23"/>
      <c r="C350" s="49"/>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3"/>
      <c r="B351" s="23"/>
      <c r="C351" s="49"/>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3"/>
      <c r="B352" s="23"/>
      <c r="C352" s="49"/>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3"/>
      <c r="B353" s="23"/>
      <c r="C353" s="49"/>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3"/>
      <c r="B354" s="23"/>
      <c r="C354" s="49"/>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3"/>
      <c r="B355" s="23"/>
      <c r="C355" s="49"/>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3"/>
      <c r="B356" s="23"/>
      <c r="C356" s="49"/>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3"/>
      <c r="B357" s="23"/>
      <c r="C357" s="49"/>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3"/>
      <c r="B358" s="23"/>
      <c r="C358" s="49"/>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3"/>
      <c r="B359" s="23"/>
      <c r="C359" s="49"/>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3"/>
      <c r="B360" s="23"/>
      <c r="C360" s="49"/>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3"/>
      <c r="B361" s="23"/>
      <c r="C361" s="49"/>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3"/>
      <c r="B362" s="23"/>
      <c r="C362" s="49"/>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3"/>
      <c r="B363" s="23"/>
      <c r="C363" s="49"/>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3"/>
      <c r="B364" s="23"/>
      <c r="C364" s="49"/>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3"/>
      <c r="B365" s="23"/>
      <c r="C365" s="49"/>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3"/>
      <c r="B366" s="23"/>
      <c r="C366" s="49"/>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3"/>
      <c r="B367" s="23"/>
      <c r="C367" s="49"/>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3"/>
      <c r="B368" s="23"/>
      <c r="C368" s="49"/>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3"/>
      <c r="B369" s="23"/>
      <c r="C369" s="49"/>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3"/>
      <c r="B370" s="23"/>
      <c r="C370" s="49"/>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3"/>
      <c r="B371" s="23"/>
      <c r="C371" s="49"/>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3"/>
      <c r="B372" s="23"/>
      <c r="C372" s="49"/>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3"/>
      <c r="B373" s="23"/>
      <c r="C373" s="49"/>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3"/>
      <c r="B374" s="23"/>
      <c r="C374" s="49"/>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3"/>
      <c r="B375" s="23"/>
      <c r="C375" s="49"/>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3"/>
      <c r="B376" s="23"/>
      <c r="C376" s="49"/>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3"/>
      <c r="B377" s="23"/>
      <c r="C377" s="49"/>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3"/>
      <c r="B378" s="23"/>
      <c r="C378" s="49"/>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3"/>
      <c r="B379" s="23"/>
      <c r="C379" s="49"/>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3"/>
      <c r="B380" s="23"/>
      <c r="C380" s="49"/>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3"/>
      <c r="B381" s="23"/>
      <c r="C381" s="49"/>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3"/>
      <c r="B382" s="23"/>
      <c r="C382" s="49"/>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3"/>
      <c r="B383" s="23"/>
      <c r="C383" s="49"/>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3"/>
      <c r="B384" s="23"/>
      <c r="C384" s="49"/>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3"/>
      <c r="B385" s="23"/>
      <c r="C385" s="49"/>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3"/>
      <c r="B386" s="23"/>
      <c r="C386" s="49"/>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3"/>
      <c r="B387" s="23"/>
      <c r="C387" s="49"/>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3"/>
      <c r="B388" s="23"/>
      <c r="C388" s="49"/>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3"/>
      <c r="B389" s="23"/>
      <c r="C389" s="49"/>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3"/>
      <c r="B390" s="23"/>
      <c r="C390" s="49"/>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3"/>
      <c r="B391" s="23"/>
      <c r="C391" s="49"/>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3"/>
      <c r="B392" s="23"/>
      <c r="C392" s="49"/>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3"/>
      <c r="B393" s="23"/>
      <c r="C393" s="49"/>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3"/>
      <c r="B394" s="23"/>
      <c r="C394" s="49"/>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3"/>
      <c r="B395" s="23"/>
      <c r="C395" s="49"/>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3"/>
      <c r="B396" s="23"/>
      <c r="C396" s="49"/>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3"/>
      <c r="B397" s="23"/>
      <c r="C397" s="49"/>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3"/>
      <c r="B398" s="23"/>
      <c r="C398" s="49"/>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3"/>
      <c r="B399" s="23"/>
      <c r="C399" s="49"/>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3"/>
      <c r="B400" s="23"/>
      <c r="C400" s="49"/>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3"/>
      <c r="B401" s="23"/>
      <c r="C401" s="49"/>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3"/>
      <c r="B402" s="23"/>
      <c r="C402" s="49"/>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3"/>
      <c r="B403" s="23"/>
      <c r="C403" s="49"/>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3"/>
      <c r="B404" s="23"/>
      <c r="C404" s="49"/>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3"/>
      <c r="B405" s="23"/>
      <c r="C405" s="49"/>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3"/>
      <c r="B406" s="23"/>
      <c r="C406" s="49"/>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3"/>
      <c r="B407" s="23"/>
      <c r="C407" s="49"/>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3"/>
      <c r="B408" s="23"/>
      <c r="C408" s="49"/>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3"/>
      <c r="B409" s="23"/>
      <c r="C409" s="49"/>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3"/>
      <c r="B410" s="23"/>
      <c r="C410" s="49"/>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3"/>
      <c r="B411" s="23"/>
      <c r="C411" s="49"/>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3"/>
      <c r="B412" s="23"/>
      <c r="C412" s="49"/>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3"/>
      <c r="B413" s="23"/>
      <c r="C413" s="49"/>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3"/>
      <c r="B414" s="23"/>
      <c r="C414" s="49"/>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3"/>
      <c r="B415" s="23"/>
      <c r="C415" s="49"/>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3"/>
      <c r="B416" s="23"/>
      <c r="C416" s="49"/>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3"/>
      <c r="B417" s="23"/>
      <c r="C417" s="49"/>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3"/>
      <c r="B418" s="23"/>
      <c r="C418" s="49"/>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3"/>
      <c r="B419" s="23"/>
      <c r="C419" s="49"/>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3"/>
      <c r="B420" s="23"/>
      <c r="C420" s="49"/>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3"/>
      <c r="B421" s="23"/>
      <c r="C421" s="49"/>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3"/>
      <c r="B422" s="23"/>
      <c r="C422" s="49"/>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3"/>
      <c r="B423" s="23"/>
      <c r="C423" s="49"/>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3"/>
      <c r="B424" s="23"/>
      <c r="C424" s="49"/>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3"/>
      <c r="B425" s="23"/>
      <c r="C425" s="49"/>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3"/>
      <c r="B426" s="23"/>
      <c r="C426" s="49"/>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3"/>
      <c r="B427" s="23"/>
      <c r="C427" s="49"/>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3"/>
      <c r="B428" s="23"/>
      <c r="C428" s="49"/>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3"/>
      <c r="B429" s="23"/>
      <c r="C429" s="49"/>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3"/>
      <c r="B430" s="23"/>
      <c r="C430" s="49"/>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3"/>
      <c r="B431" s="23"/>
      <c r="C431" s="49"/>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3"/>
      <c r="B432" s="23"/>
      <c r="C432" s="49"/>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3"/>
      <c r="B433" s="23"/>
      <c r="C433" s="49"/>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3"/>
      <c r="B434" s="23"/>
      <c r="C434" s="49"/>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3"/>
      <c r="B435" s="23"/>
      <c r="C435" s="49"/>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3"/>
      <c r="B436" s="23"/>
      <c r="C436" s="49"/>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3"/>
      <c r="B437" s="23"/>
      <c r="C437" s="49"/>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3"/>
      <c r="B438" s="23"/>
      <c r="C438" s="49"/>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3"/>
      <c r="B439" s="23"/>
      <c r="C439" s="49"/>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3"/>
      <c r="B440" s="23"/>
      <c r="C440" s="49"/>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3"/>
      <c r="B441" s="23"/>
      <c r="C441" s="49"/>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3"/>
      <c r="B442" s="23"/>
      <c r="C442" s="49"/>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3"/>
      <c r="B443" s="23"/>
      <c r="C443" s="49"/>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3"/>
      <c r="B444" s="23"/>
      <c r="C444" s="49"/>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3"/>
      <c r="B445" s="23"/>
      <c r="C445" s="49"/>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3"/>
      <c r="B446" s="23"/>
      <c r="C446" s="49"/>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3"/>
      <c r="B447" s="23"/>
      <c r="C447" s="49"/>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3"/>
      <c r="B448" s="23"/>
      <c r="C448" s="49"/>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3"/>
      <c r="B449" s="23"/>
      <c r="C449" s="49"/>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3"/>
      <c r="B450" s="23"/>
      <c r="C450" s="49"/>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3"/>
      <c r="B451" s="23"/>
      <c r="C451" s="49"/>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3"/>
      <c r="B452" s="23"/>
      <c r="C452" s="49"/>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3"/>
      <c r="B453" s="23"/>
      <c r="C453" s="49"/>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3"/>
      <c r="B454" s="23"/>
      <c r="C454" s="49"/>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3"/>
      <c r="B455" s="23"/>
      <c r="C455" s="49"/>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3"/>
      <c r="B456" s="23"/>
      <c r="C456" s="49"/>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3"/>
      <c r="B457" s="23"/>
      <c r="C457" s="49"/>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3"/>
      <c r="B458" s="23"/>
      <c r="C458" s="49"/>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3"/>
      <c r="B459" s="23"/>
      <c r="C459" s="49"/>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3"/>
      <c r="B460" s="23"/>
      <c r="C460" s="49"/>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3"/>
      <c r="B461" s="23"/>
      <c r="C461" s="49"/>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3"/>
      <c r="B462" s="23"/>
      <c r="C462" s="49"/>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3"/>
      <c r="B463" s="23"/>
      <c r="C463" s="49"/>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3"/>
      <c r="B464" s="23"/>
      <c r="C464" s="49"/>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3"/>
      <c r="B465" s="23"/>
      <c r="C465" s="49"/>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3"/>
      <c r="B466" s="23"/>
      <c r="C466" s="49"/>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3"/>
      <c r="B467" s="23"/>
      <c r="C467" s="49"/>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3"/>
      <c r="B468" s="23"/>
      <c r="C468" s="49"/>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3"/>
      <c r="B469" s="23"/>
      <c r="C469" s="49"/>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3"/>
      <c r="B470" s="23"/>
      <c r="C470" s="49"/>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3"/>
      <c r="B471" s="23"/>
      <c r="C471" s="49"/>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3"/>
      <c r="B472" s="23"/>
      <c r="C472" s="49"/>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3"/>
      <c r="B473" s="23"/>
      <c r="C473" s="49"/>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3"/>
      <c r="B474" s="23"/>
      <c r="C474" s="49"/>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3"/>
      <c r="B475" s="23"/>
      <c r="C475" s="49"/>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3"/>
      <c r="B476" s="23"/>
      <c r="C476" s="49"/>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3"/>
      <c r="B477" s="23"/>
      <c r="C477" s="49"/>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3"/>
      <c r="B478" s="23"/>
      <c r="C478" s="49"/>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3"/>
      <c r="B479" s="23"/>
      <c r="C479" s="49"/>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3"/>
      <c r="B480" s="23"/>
      <c r="C480" s="49"/>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3"/>
      <c r="B481" s="23"/>
      <c r="C481" s="49"/>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3"/>
      <c r="B482" s="23"/>
      <c r="C482" s="49"/>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3"/>
      <c r="B483" s="23"/>
      <c r="C483" s="49"/>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3"/>
      <c r="B484" s="23"/>
      <c r="C484" s="49"/>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3"/>
      <c r="B485" s="23"/>
      <c r="C485" s="49"/>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3"/>
      <c r="B486" s="23"/>
      <c r="C486" s="49"/>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3"/>
      <c r="B487" s="23"/>
      <c r="C487" s="49"/>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3"/>
      <c r="B488" s="23"/>
      <c r="C488" s="49"/>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3"/>
      <c r="B489" s="23"/>
      <c r="C489" s="49"/>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3"/>
      <c r="B490" s="23"/>
      <c r="C490" s="49"/>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3"/>
      <c r="B491" s="23"/>
      <c r="C491" s="49"/>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3"/>
      <c r="B492" s="23"/>
      <c r="C492" s="49"/>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3"/>
      <c r="B493" s="23"/>
      <c r="C493" s="49"/>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3"/>
      <c r="B494" s="23"/>
      <c r="C494" s="49"/>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3"/>
      <c r="B495" s="23"/>
      <c r="C495" s="49"/>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3"/>
      <c r="B496" s="23"/>
      <c r="C496" s="49"/>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3"/>
      <c r="B497" s="23"/>
      <c r="C497" s="49"/>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3"/>
      <c r="B498" s="23"/>
      <c r="C498" s="49"/>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3"/>
      <c r="B499" s="23"/>
      <c r="C499" s="49"/>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3"/>
      <c r="B500" s="23"/>
      <c r="C500" s="49"/>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3"/>
      <c r="B501" s="23"/>
      <c r="C501" s="49"/>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3"/>
      <c r="B502" s="23"/>
      <c r="C502" s="49"/>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3"/>
      <c r="B503" s="23"/>
      <c r="C503" s="49"/>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3"/>
      <c r="B504" s="23"/>
      <c r="C504" s="49"/>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3"/>
      <c r="B505" s="23"/>
      <c r="C505" s="49"/>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3"/>
      <c r="B506" s="23"/>
      <c r="C506" s="49"/>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3"/>
      <c r="B507" s="23"/>
      <c r="C507" s="49"/>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3"/>
      <c r="B508" s="23"/>
      <c r="C508" s="49"/>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3"/>
      <c r="B509" s="23"/>
      <c r="C509" s="49"/>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3"/>
      <c r="B510" s="23"/>
      <c r="C510" s="49"/>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3"/>
      <c r="B511" s="23"/>
      <c r="C511" s="49"/>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3"/>
      <c r="B512" s="23"/>
      <c r="C512" s="49"/>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3"/>
      <c r="B513" s="23"/>
      <c r="C513" s="49"/>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3"/>
      <c r="B514" s="23"/>
      <c r="C514" s="49"/>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3"/>
      <c r="B515" s="23"/>
      <c r="C515" s="49"/>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3"/>
      <c r="B516" s="23"/>
      <c r="C516" s="49"/>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3"/>
      <c r="B517" s="23"/>
      <c r="C517" s="49"/>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3"/>
      <c r="B518" s="23"/>
      <c r="C518" s="49"/>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3"/>
      <c r="B519" s="23"/>
      <c r="C519" s="49"/>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3"/>
      <c r="B520" s="23"/>
      <c r="C520" s="49"/>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3"/>
      <c r="B521" s="23"/>
      <c r="C521" s="49"/>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3"/>
      <c r="B522" s="23"/>
      <c r="C522" s="49"/>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3"/>
      <c r="B523" s="23"/>
      <c r="C523" s="49"/>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3"/>
      <c r="B524" s="23"/>
      <c r="C524" s="49"/>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3"/>
      <c r="B525" s="23"/>
      <c r="C525" s="49"/>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3"/>
      <c r="B526" s="23"/>
      <c r="C526" s="49"/>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3"/>
      <c r="B527" s="23"/>
      <c r="C527" s="49"/>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3"/>
      <c r="B528" s="23"/>
      <c r="C528" s="49"/>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3"/>
      <c r="B529" s="23"/>
      <c r="C529" s="49"/>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3"/>
      <c r="B530" s="23"/>
      <c r="C530" s="49"/>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3"/>
      <c r="B531" s="23"/>
      <c r="C531" s="49"/>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3"/>
      <c r="B532" s="23"/>
      <c r="C532" s="49"/>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3"/>
      <c r="B533" s="23"/>
      <c r="C533" s="49"/>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3"/>
      <c r="B534" s="23"/>
      <c r="C534" s="49"/>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3"/>
      <c r="B535" s="23"/>
      <c r="C535" s="49"/>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3"/>
      <c r="B536" s="23"/>
      <c r="C536" s="49"/>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3"/>
      <c r="B537" s="23"/>
      <c r="C537" s="49"/>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3"/>
      <c r="B538" s="23"/>
      <c r="C538" s="49"/>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3"/>
      <c r="B539" s="23"/>
      <c r="C539" s="49"/>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3"/>
      <c r="B540" s="23"/>
      <c r="C540" s="49"/>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3"/>
      <c r="B541" s="23"/>
      <c r="C541" s="49"/>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3"/>
      <c r="B542" s="23"/>
      <c r="C542" s="49"/>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3"/>
      <c r="B543" s="23"/>
      <c r="C543" s="49"/>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3"/>
      <c r="B544" s="23"/>
      <c r="C544" s="49"/>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3"/>
      <c r="B545" s="23"/>
      <c r="C545" s="49"/>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3"/>
      <c r="B546" s="23"/>
      <c r="C546" s="49"/>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3"/>
      <c r="B547" s="23"/>
      <c r="C547" s="49"/>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3"/>
      <c r="B548" s="23"/>
      <c r="C548" s="49"/>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3"/>
      <c r="B549" s="23"/>
      <c r="C549" s="49"/>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3"/>
      <c r="B550" s="23"/>
      <c r="C550" s="49"/>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3"/>
      <c r="B551" s="23"/>
      <c r="C551" s="49"/>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3"/>
      <c r="B552" s="23"/>
      <c r="C552" s="49"/>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3"/>
      <c r="B553" s="23"/>
      <c r="C553" s="49"/>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3"/>
      <c r="B554" s="23"/>
      <c r="C554" s="49"/>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3"/>
      <c r="B555" s="23"/>
      <c r="C555" s="49"/>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3"/>
      <c r="B556" s="23"/>
      <c r="C556" s="49"/>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3"/>
      <c r="B557" s="23"/>
      <c r="C557" s="49"/>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3"/>
      <c r="B558" s="23"/>
      <c r="C558" s="49"/>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3"/>
      <c r="B559" s="23"/>
      <c r="C559" s="49"/>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3"/>
      <c r="B560" s="23"/>
      <c r="C560" s="49"/>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3"/>
      <c r="B561" s="23"/>
      <c r="C561" s="49"/>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3"/>
      <c r="B562" s="23"/>
      <c r="C562" s="49"/>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3"/>
      <c r="B563" s="23"/>
      <c r="C563" s="49"/>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3"/>
      <c r="B564" s="23"/>
      <c r="C564" s="49"/>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3"/>
      <c r="B565" s="23"/>
      <c r="C565" s="49"/>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3"/>
      <c r="B566" s="23"/>
      <c r="C566" s="49"/>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3"/>
      <c r="B567" s="23"/>
      <c r="C567" s="49"/>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3"/>
      <c r="B568" s="23"/>
      <c r="C568" s="49"/>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3"/>
      <c r="B569" s="23"/>
      <c r="C569" s="49"/>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3"/>
      <c r="B570" s="23"/>
      <c r="C570" s="49"/>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3"/>
      <c r="B571" s="23"/>
      <c r="C571" s="49"/>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3"/>
      <c r="B572" s="23"/>
      <c r="C572" s="49"/>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3"/>
      <c r="B573" s="23"/>
      <c r="C573" s="49"/>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3"/>
      <c r="B574" s="23"/>
      <c r="C574" s="49"/>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3"/>
      <c r="B575" s="23"/>
      <c r="C575" s="49"/>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3"/>
      <c r="B576" s="23"/>
      <c r="C576" s="49"/>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3"/>
      <c r="B577" s="23"/>
      <c r="C577" s="49"/>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3"/>
      <c r="B578" s="23"/>
      <c r="C578" s="49"/>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3"/>
      <c r="B579" s="23"/>
      <c r="C579" s="49"/>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3"/>
      <c r="B580" s="23"/>
      <c r="C580" s="49"/>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3"/>
      <c r="B581" s="23"/>
      <c r="C581" s="49"/>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3"/>
      <c r="B582" s="23"/>
      <c r="C582" s="49"/>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3"/>
      <c r="B583" s="23"/>
      <c r="C583" s="49"/>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3"/>
      <c r="B584" s="23"/>
      <c r="C584" s="49"/>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3"/>
      <c r="B585" s="23"/>
      <c r="C585" s="49"/>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3"/>
      <c r="B586" s="23"/>
      <c r="C586" s="49"/>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3"/>
      <c r="B587" s="23"/>
      <c r="C587" s="49"/>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3"/>
      <c r="B588" s="23"/>
      <c r="C588" s="49"/>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3"/>
      <c r="B589" s="23"/>
      <c r="C589" s="49"/>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3"/>
      <c r="B590" s="23"/>
      <c r="C590" s="49"/>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3"/>
      <c r="B591" s="23"/>
      <c r="C591" s="49"/>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3"/>
      <c r="B592" s="23"/>
      <c r="C592" s="49"/>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3"/>
      <c r="B593" s="23"/>
      <c r="C593" s="49"/>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3"/>
      <c r="B594" s="23"/>
      <c r="C594" s="49"/>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3"/>
      <c r="B595" s="23"/>
      <c r="C595" s="49"/>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3"/>
      <c r="B596" s="23"/>
      <c r="C596" s="49"/>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3"/>
      <c r="B597" s="23"/>
      <c r="C597" s="49"/>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3"/>
      <c r="B598" s="23"/>
      <c r="C598" s="49"/>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3"/>
      <c r="B599" s="23"/>
      <c r="C599" s="49"/>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3"/>
      <c r="B600" s="23"/>
      <c r="C600" s="49"/>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3"/>
      <c r="B601" s="23"/>
      <c r="C601" s="49"/>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3"/>
      <c r="B602" s="23"/>
      <c r="C602" s="49"/>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3"/>
      <c r="B603" s="23"/>
      <c r="C603" s="49"/>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3"/>
      <c r="B604" s="23"/>
      <c r="C604" s="49"/>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3"/>
      <c r="B605" s="23"/>
      <c r="C605" s="49"/>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3"/>
      <c r="B606" s="23"/>
      <c r="C606" s="49"/>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3"/>
      <c r="B607" s="23"/>
      <c r="C607" s="49"/>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3"/>
      <c r="B608" s="23"/>
      <c r="C608" s="49"/>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3"/>
      <c r="B609" s="23"/>
      <c r="C609" s="49"/>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3"/>
      <c r="B610" s="23"/>
      <c r="C610" s="49"/>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3"/>
      <c r="B611" s="23"/>
      <c r="C611" s="49"/>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3"/>
      <c r="B612" s="23"/>
      <c r="C612" s="49"/>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3"/>
      <c r="B613" s="23"/>
      <c r="C613" s="49"/>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3"/>
      <c r="B614" s="23"/>
      <c r="C614" s="49"/>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3"/>
      <c r="B615" s="23"/>
      <c r="C615" s="49"/>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3"/>
      <c r="B616" s="23"/>
      <c r="C616" s="49"/>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3"/>
      <c r="B617" s="23"/>
      <c r="C617" s="49"/>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3"/>
      <c r="B618" s="23"/>
      <c r="C618" s="49"/>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3"/>
      <c r="B619" s="23"/>
      <c r="C619" s="49"/>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3"/>
      <c r="B620" s="23"/>
      <c r="C620" s="49"/>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3"/>
      <c r="B621" s="23"/>
      <c r="C621" s="49"/>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3"/>
      <c r="B622" s="23"/>
      <c r="C622" s="49"/>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3"/>
      <c r="B623" s="23"/>
      <c r="C623" s="49"/>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3"/>
      <c r="B624" s="23"/>
      <c r="C624" s="49"/>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3"/>
      <c r="B625" s="23"/>
      <c r="C625" s="49"/>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3"/>
      <c r="B626" s="23"/>
      <c r="C626" s="49"/>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3"/>
      <c r="B627" s="23"/>
      <c r="C627" s="49"/>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3"/>
      <c r="B628" s="23"/>
      <c r="C628" s="49"/>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3"/>
      <c r="B629" s="23"/>
      <c r="C629" s="49"/>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3"/>
      <c r="B630" s="23"/>
      <c r="C630" s="49"/>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3"/>
      <c r="B631" s="23"/>
      <c r="C631" s="49"/>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3"/>
      <c r="B632" s="23"/>
      <c r="C632" s="49"/>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3"/>
      <c r="B633" s="23"/>
      <c r="C633" s="49"/>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3"/>
      <c r="B634" s="23"/>
      <c r="C634" s="49"/>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3"/>
      <c r="B635" s="23"/>
      <c r="C635" s="49"/>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3"/>
      <c r="B636" s="23"/>
      <c r="C636" s="49"/>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3"/>
      <c r="B637" s="23"/>
      <c r="C637" s="49"/>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3"/>
      <c r="B638" s="23"/>
      <c r="C638" s="49"/>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3"/>
      <c r="B639" s="23"/>
      <c r="C639" s="49"/>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3"/>
      <c r="B640" s="23"/>
      <c r="C640" s="49"/>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3"/>
      <c r="B641" s="23"/>
      <c r="C641" s="49"/>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3"/>
      <c r="B642" s="23"/>
      <c r="C642" s="49"/>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3"/>
      <c r="B643" s="23"/>
      <c r="C643" s="49"/>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3"/>
      <c r="B644" s="23"/>
      <c r="C644" s="49"/>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3"/>
      <c r="B645" s="23"/>
      <c r="C645" s="49"/>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3"/>
      <c r="B646" s="23"/>
      <c r="C646" s="49"/>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3"/>
      <c r="B647" s="23"/>
      <c r="C647" s="49"/>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3"/>
      <c r="B648" s="23"/>
      <c r="C648" s="49"/>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3"/>
      <c r="B649" s="23"/>
      <c r="C649" s="49"/>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3"/>
      <c r="B650" s="23"/>
      <c r="C650" s="49"/>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3"/>
      <c r="B651" s="23"/>
      <c r="C651" s="49"/>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3"/>
      <c r="B652" s="23"/>
      <c r="C652" s="49"/>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3"/>
      <c r="B653" s="23"/>
      <c r="C653" s="49"/>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3"/>
      <c r="B654" s="23"/>
      <c r="C654" s="49"/>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3"/>
      <c r="B655" s="23"/>
      <c r="C655" s="49"/>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3"/>
      <c r="B656" s="23"/>
      <c r="C656" s="49"/>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3"/>
      <c r="B657" s="23"/>
      <c r="C657" s="49"/>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3"/>
      <c r="B658" s="23"/>
      <c r="C658" s="49"/>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3"/>
      <c r="B659" s="23"/>
      <c r="C659" s="49"/>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3"/>
      <c r="B660" s="23"/>
      <c r="C660" s="49"/>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3"/>
      <c r="B661" s="23"/>
      <c r="C661" s="49"/>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3"/>
      <c r="B662" s="23"/>
      <c r="C662" s="49"/>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3"/>
      <c r="B663" s="23"/>
      <c r="C663" s="49"/>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3"/>
      <c r="B664" s="23"/>
      <c r="C664" s="49"/>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3"/>
      <c r="B665" s="23"/>
      <c r="C665" s="49"/>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3"/>
      <c r="B666" s="23"/>
      <c r="C666" s="49"/>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3"/>
      <c r="B667" s="23"/>
      <c r="C667" s="49"/>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3"/>
      <c r="B668" s="23"/>
      <c r="C668" s="49"/>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3"/>
      <c r="B669" s="23"/>
      <c r="C669" s="49"/>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3"/>
      <c r="B670" s="23"/>
      <c r="C670" s="49"/>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3"/>
      <c r="B671" s="23"/>
      <c r="C671" s="49"/>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3"/>
      <c r="B672" s="23"/>
      <c r="C672" s="49"/>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3"/>
      <c r="B673" s="23"/>
      <c r="C673" s="49"/>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3"/>
      <c r="B674" s="23"/>
      <c r="C674" s="49"/>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3"/>
      <c r="B675" s="23"/>
      <c r="C675" s="49"/>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3"/>
      <c r="B676" s="23"/>
      <c r="C676" s="49"/>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3"/>
      <c r="B677" s="23"/>
      <c r="C677" s="49"/>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3"/>
      <c r="B678" s="23"/>
      <c r="C678" s="49"/>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3"/>
      <c r="B679" s="23"/>
      <c r="C679" s="49"/>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3"/>
      <c r="B680" s="23"/>
      <c r="C680" s="49"/>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3"/>
      <c r="B681" s="23"/>
      <c r="C681" s="49"/>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3"/>
      <c r="B682" s="23"/>
      <c r="C682" s="49"/>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3"/>
      <c r="B683" s="23"/>
      <c r="C683" s="49"/>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3"/>
      <c r="B684" s="23"/>
      <c r="C684" s="49"/>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3"/>
      <c r="B685" s="23"/>
      <c r="C685" s="49"/>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3"/>
      <c r="B686" s="23"/>
      <c r="C686" s="49"/>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3"/>
      <c r="B687" s="23"/>
      <c r="C687" s="49"/>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3"/>
      <c r="B688" s="23"/>
      <c r="C688" s="49"/>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3"/>
      <c r="B689" s="23"/>
      <c r="C689" s="49"/>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3"/>
      <c r="B690" s="23"/>
      <c r="C690" s="49"/>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3"/>
      <c r="B691" s="23"/>
      <c r="C691" s="49"/>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3"/>
      <c r="B692" s="23"/>
      <c r="C692" s="49"/>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3"/>
      <c r="B693" s="23"/>
      <c r="C693" s="49"/>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3"/>
      <c r="B694" s="23"/>
      <c r="C694" s="49"/>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3"/>
      <c r="B695" s="23"/>
      <c r="C695" s="49"/>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3"/>
      <c r="B696" s="23"/>
      <c r="C696" s="49"/>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3"/>
      <c r="B697" s="23"/>
      <c r="C697" s="49"/>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3"/>
      <c r="B698" s="23"/>
      <c r="C698" s="49"/>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3"/>
      <c r="B699" s="23"/>
      <c r="C699" s="49"/>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3"/>
      <c r="B700" s="23"/>
      <c r="C700" s="49"/>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3"/>
      <c r="B701" s="23"/>
      <c r="C701" s="49"/>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3"/>
      <c r="B702" s="23"/>
      <c r="C702" s="49"/>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3"/>
      <c r="B703" s="23"/>
      <c r="C703" s="49"/>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3"/>
      <c r="B704" s="23"/>
      <c r="C704" s="49"/>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3"/>
      <c r="B705" s="23"/>
      <c r="C705" s="49"/>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3"/>
      <c r="B706" s="23"/>
      <c r="C706" s="49"/>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3"/>
      <c r="B707" s="23"/>
      <c r="C707" s="49"/>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3"/>
      <c r="B708" s="23"/>
      <c r="C708" s="49"/>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3"/>
      <c r="B709" s="23"/>
      <c r="C709" s="49"/>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3"/>
      <c r="B710" s="23"/>
      <c r="C710" s="49"/>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3"/>
      <c r="B711" s="23"/>
      <c r="C711" s="49"/>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3"/>
      <c r="B712" s="23"/>
      <c r="C712" s="49"/>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3"/>
      <c r="B713" s="23"/>
      <c r="C713" s="49"/>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3"/>
      <c r="B714" s="23"/>
      <c r="C714" s="49"/>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3"/>
      <c r="B715" s="23"/>
      <c r="C715" s="49"/>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3"/>
      <c r="B716" s="23"/>
      <c r="C716" s="49"/>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3"/>
      <c r="B717" s="23"/>
      <c r="C717" s="49"/>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3"/>
      <c r="B718" s="23"/>
      <c r="C718" s="49"/>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3"/>
      <c r="B719" s="23"/>
      <c r="C719" s="49"/>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3"/>
      <c r="B720" s="23"/>
      <c r="C720" s="49"/>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3"/>
      <c r="B721" s="23"/>
      <c r="C721" s="49"/>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3"/>
      <c r="B722" s="23"/>
      <c r="C722" s="49"/>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3"/>
      <c r="B723" s="23"/>
      <c r="C723" s="49"/>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3"/>
      <c r="B724" s="23"/>
      <c r="C724" s="49"/>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3"/>
      <c r="B725" s="23"/>
      <c r="C725" s="49"/>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3"/>
      <c r="B726" s="23"/>
      <c r="C726" s="49"/>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3"/>
      <c r="B727" s="23"/>
      <c r="C727" s="49"/>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3"/>
      <c r="B728" s="23"/>
      <c r="C728" s="49"/>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3"/>
      <c r="B729" s="23"/>
      <c r="C729" s="49"/>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3"/>
      <c r="B730" s="23"/>
      <c r="C730" s="49"/>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3"/>
      <c r="B731" s="23"/>
      <c r="C731" s="49"/>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3"/>
      <c r="B732" s="23"/>
      <c r="C732" s="49"/>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3"/>
      <c r="B733" s="23"/>
      <c r="C733" s="49"/>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3"/>
      <c r="B734" s="23"/>
      <c r="C734" s="49"/>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3"/>
      <c r="B735" s="23"/>
      <c r="C735" s="49"/>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3"/>
      <c r="B736" s="23"/>
      <c r="C736" s="49"/>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3"/>
      <c r="B737" s="23"/>
      <c r="C737" s="49"/>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3"/>
      <c r="B738" s="23"/>
      <c r="C738" s="49"/>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3"/>
      <c r="B739" s="23"/>
      <c r="C739" s="49"/>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3"/>
      <c r="B740" s="23"/>
      <c r="C740" s="49"/>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3"/>
      <c r="B741" s="23"/>
      <c r="C741" s="49"/>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3"/>
      <c r="B742" s="23"/>
      <c r="C742" s="49"/>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3"/>
      <c r="B743" s="23"/>
      <c r="C743" s="49"/>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3"/>
      <c r="B744" s="23"/>
      <c r="C744" s="49"/>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3"/>
      <c r="B745" s="23"/>
      <c r="C745" s="49"/>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3"/>
      <c r="B746" s="23"/>
      <c r="C746" s="49"/>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3"/>
      <c r="B747" s="23"/>
      <c r="C747" s="49"/>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3"/>
      <c r="B748" s="23"/>
      <c r="C748" s="49"/>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3"/>
      <c r="B749" s="23"/>
      <c r="C749" s="49"/>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3"/>
      <c r="B750" s="23"/>
      <c r="C750" s="49"/>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3"/>
      <c r="B751" s="23"/>
      <c r="C751" s="49"/>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3"/>
      <c r="B752" s="23"/>
      <c r="C752" s="49"/>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3"/>
      <c r="B753" s="23"/>
      <c r="C753" s="49"/>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3"/>
      <c r="B754" s="23"/>
      <c r="C754" s="49"/>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3"/>
      <c r="B755" s="23"/>
      <c r="C755" s="49"/>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3"/>
      <c r="B756" s="23"/>
      <c r="C756" s="49"/>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3"/>
      <c r="B757" s="23"/>
      <c r="C757" s="49"/>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3"/>
      <c r="B758" s="23"/>
      <c r="C758" s="49"/>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3"/>
      <c r="B759" s="23"/>
      <c r="C759" s="49"/>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3"/>
      <c r="B760" s="23"/>
      <c r="C760" s="49"/>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3"/>
      <c r="B761" s="23"/>
      <c r="C761" s="49"/>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3"/>
      <c r="B762" s="23"/>
      <c r="C762" s="49"/>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3"/>
      <c r="B763" s="23"/>
      <c r="C763" s="49"/>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3"/>
      <c r="B764" s="23"/>
      <c r="C764" s="49"/>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3"/>
      <c r="B765" s="23"/>
      <c r="C765" s="49"/>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3"/>
      <c r="B766" s="23"/>
      <c r="C766" s="49"/>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3"/>
      <c r="B767" s="23"/>
      <c r="C767" s="49"/>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3"/>
      <c r="B768" s="23"/>
      <c r="C768" s="49"/>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3"/>
      <c r="B769" s="23"/>
      <c r="C769" s="49"/>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3"/>
      <c r="B770" s="23"/>
      <c r="C770" s="49"/>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3"/>
      <c r="B771" s="23"/>
      <c r="C771" s="49"/>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3"/>
      <c r="B772" s="23"/>
      <c r="C772" s="49"/>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3"/>
      <c r="B773" s="23"/>
      <c r="C773" s="49"/>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3"/>
      <c r="B774" s="23"/>
      <c r="C774" s="49"/>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3"/>
      <c r="B775" s="23"/>
      <c r="C775" s="49"/>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3"/>
      <c r="B776" s="23"/>
      <c r="C776" s="49"/>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3"/>
      <c r="B777" s="23"/>
      <c r="C777" s="49"/>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3"/>
      <c r="B778" s="23"/>
      <c r="C778" s="49"/>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3"/>
      <c r="B779" s="23"/>
      <c r="C779" s="49"/>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3"/>
      <c r="B780" s="23"/>
      <c r="C780" s="49"/>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3"/>
      <c r="B781" s="23"/>
      <c r="C781" s="49"/>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3"/>
      <c r="B782" s="23"/>
      <c r="C782" s="49"/>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3"/>
      <c r="B783" s="23"/>
      <c r="C783" s="49"/>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3"/>
      <c r="B784" s="23"/>
      <c r="C784" s="49"/>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3"/>
      <c r="B785" s="23"/>
      <c r="C785" s="49"/>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3"/>
      <c r="B786" s="23"/>
      <c r="C786" s="49"/>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3"/>
      <c r="B787" s="23"/>
      <c r="C787" s="49"/>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3"/>
      <c r="B788" s="23"/>
      <c r="C788" s="49"/>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3"/>
      <c r="B789" s="23"/>
      <c r="C789" s="49"/>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3"/>
      <c r="B790" s="23"/>
      <c r="C790" s="49"/>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3"/>
      <c r="B791" s="23"/>
      <c r="C791" s="49"/>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3"/>
      <c r="B792" s="23"/>
      <c r="C792" s="49"/>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3"/>
      <c r="B793" s="23"/>
      <c r="C793" s="49"/>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3"/>
      <c r="B794" s="23"/>
      <c r="C794" s="49"/>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3"/>
      <c r="B795" s="23"/>
      <c r="C795" s="49"/>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3"/>
      <c r="B796" s="23"/>
      <c r="C796" s="49"/>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3"/>
      <c r="B797" s="23"/>
      <c r="C797" s="49"/>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3"/>
      <c r="B798" s="23"/>
      <c r="C798" s="49"/>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3"/>
      <c r="B799" s="23"/>
      <c r="C799" s="49"/>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3"/>
      <c r="B800" s="23"/>
      <c r="C800" s="49"/>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3"/>
      <c r="B801" s="23"/>
      <c r="C801" s="49"/>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3"/>
      <c r="B802" s="23"/>
      <c r="C802" s="49"/>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3"/>
      <c r="B803" s="23"/>
      <c r="C803" s="49"/>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3"/>
      <c r="B804" s="23"/>
      <c r="C804" s="49"/>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3"/>
      <c r="B805" s="23"/>
      <c r="C805" s="49"/>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3"/>
      <c r="B806" s="23"/>
      <c r="C806" s="49"/>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3"/>
      <c r="B807" s="23"/>
      <c r="C807" s="49"/>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3"/>
      <c r="B808" s="23"/>
      <c r="C808" s="49"/>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3"/>
      <c r="B809" s="23"/>
      <c r="C809" s="49"/>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3"/>
      <c r="B810" s="23"/>
      <c r="C810" s="49"/>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3"/>
      <c r="B811" s="23"/>
      <c r="C811" s="49"/>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3"/>
      <c r="B812" s="23"/>
      <c r="C812" s="49"/>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3"/>
      <c r="B813" s="23"/>
      <c r="C813" s="49"/>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3"/>
      <c r="B814" s="23"/>
      <c r="C814" s="49"/>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3"/>
      <c r="B815" s="23"/>
      <c r="C815" s="49"/>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3"/>
      <c r="B816" s="23"/>
      <c r="C816" s="49"/>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3"/>
      <c r="B817" s="23"/>
      <c r="C817" s="49"/>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3"/>
      <c r="B818" s="23"/>
      <c r="C818" s="49"/>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3"/>
      <c r="B819" s="23"/>
      <c r="C819" s="49"/>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3"/>
      <c r="B820" s="23"/>
      <c r="C820" s="49"/>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3"/>
      <c r="B821" s="23"/>
      <c r="C821" s="49"/>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3"/>
      <c r="B822" s="23"/>
      <c r="C822" s="49"/>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3"/>
      <c r="B823" s="23"/>
      <c r="C823" s="49"/>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3"/>
      <c r="B824" s="23"/>
      <c r="C824" s="49"/>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3"/>
      <c r="B825" s="23"/>
      <c r="C825" s="49"/>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3"/>
      <c r="B826" s="23"/>
      <c r="C826" s="49"/>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3"/>
      <c r="B827" s="23"/>
      <c r="C827" s="49"/>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3"/>
      <c r="B828" s="23"/>
      <c r="C828" s="49"/>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3"/>
      <c r="B829" s="23"/>
      <c r="C829" s="49"/>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3"/>
      <c r="B830" s="23"/>
      <c r="C830" s="49"/>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3"/>
      <c r="B831" s="23"/>
      <c r="C831" s="49"/>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3"/>
      <c r="B832" s="23"/>
      <c r="C832" s="49"/>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3"/>
      <c r="B833" s="23"/>
      <c r="C833" s="49"/>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3"/>
      <c r="B834" s="23"/>
      <c r="C834" s="49"/>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3"/>
      <c r="B835" s="23"/>
      <c r="C835" s="49"/>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3"/>
      <c r="B836" s="23"/>
      <c r="C836" s="49"/>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3"/>
      <c r="B837" s="23"/>
      <c r="C837" s="49"/>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3"/>
      <c r="B838" s="23"/>
      <c r="C838" s="49"/>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3"/>
      <c r="B839" s="23"/>
      <c r="C839" s="49"/>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3"/>
      <c r="B840" s="23"/>
      <c r="C840" s="49"/>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3"/>
      <c r="B841" s="23"/>
      <c r="C841" s="49"/>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3"/>
      <c r="B842" s="23"/>
      <c r="C842" s="49"/>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3"/>
      <c r="B843" s="23"/>
      <c r="C843" s="49"/>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3"/>
      <c r="B844" s="23"/>
      <c r="C844" s="49"/>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3"/>
      <c r="B845" s="23"/>
      <c r="C845" s="49"/>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3"/>
      <c r="B846" s="23"/>
      <c r="C846" s="49"/>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3"/>
      <c r="B847" s="23"/>
      <c r="C847" s="49"/>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3"/>
      <c r="B848" s="23"/>
      <c r="C848" s="49"/>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3"/>
      <c r="B849" s="23"/>
      <c r="C849" s="49"/>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3"/>
      <c r="B850" s="23"/>
      <c r="C850" s="49"/>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3"/>
      <c r="B851" s="23"/>
      <c r="C851" s="49"/>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3"/>
      <c r="B852" s="23"/>
      <c r="C852" s="49"/>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3"/>
      <c r="B853" s="23"/>
      <c r="C853" s="49"/>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3"/>
      <c r="B854" s="23"/>
      <c r="C854" s="49"/>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3"/>
      <c r="B855" s="23"/>
      <c r="C855" s="49"/>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3"/>
      <c r="B856" s="23"/>
      <c r="C856" s="49"/>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3"/>
      <c r="B857" s="23"/>
      <c r="C857" s="49"/>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3"/>
      <c r="B858" s="23"/>
      <c r="C858" s="49"/>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3"/>
      <c r="B859" s="23"/>
      <c r="C859" s="49"/>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3"/>
      <c r="B860" s="23"/>
      <c r="C860" s="49"/>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3"/>
      <c r="B861" s="23"/>
      <c r="C861" s="49"/>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3"/>
      <c r="B862" s="23"/>
      <c r="C862" s="49"/>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3"/>
      <c r="B863" s="23"/>
      <c r="C863" s="49"/>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3"/>
      <c r="B864" s="23"/>
      <c r="C864" s="49"/>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3"/>
      <c r="B865" s="23"/>
      <c r="C865" s="49"/>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3"/>
      <c r="B866" s="23"/>
      <c r="C866" s="49"/>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3"/>
      <c r="B867" s="23"/>
      <c r="C867" s="49"/>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3"/>
      <c r="B868" s="23"/>
      <c r="C868" s="49"/>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3"/>
      <c r="B869" s="23"/>
      <c r="C869" s="49"/>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3"/>
      <c r="B870" s="23"/>
      <c r="C870" s="49"/>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3"/>
      <c r="B871" s="23"/>
      <c r="C871" s="49"/>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3"/>
      <c r="B872" s="23"/>
      <c r="C872" s="49"/>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3"/>
      <c r="B873" s="23"/>
      <c r="C873" s="49"/>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3"/>
      <c r="B874" s="23"/>
      <c r="C874" s="49"/>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3"/>
      <c r="B875" s="23"/>
      <c r="C875" s="49"/>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3"/>
      <c r="B876" s="23"/>
      <c r="C876" s="49"/>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3"/>
      <c r="B877" s="23"/>
      <c r="C877" s="49"/>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3"/>
      <c r="B878" s="23"/>
      <c r="C878" s="49"/>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3"/>
      <c r="B879" s="23"/>
      <c r="C879" s="49"/>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3"/>
      <c r="B880" s="23"/>
      <c r="C880" s="49"/>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3"/>
      <c r="B881" s="23"/>
      <c r="C881" s="49"/>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3"/>
      <c r="B882" s="23"/>
      <c r="C882" s="49"/>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3"/>
      <c r="B883" s="23"/>
      <c r="C883" s="49"/>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3"/>
      <c r="B884" s="23"/>
      <c r="C884" s="49"/>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3"/>
      <c r="B885" s="23"/>
      <c r="C885" s="49"/>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3"/>
      <c r="B886" s="23"/>
      <c r="C886" s="49"/>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3"/>
      <c r="B887" s="23"/>
      <c r="C887" s="49"/>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3"/>
      <c r="B888" s="23"/>
      <c r="C888" s="49"/>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3"/>
      <c r="B889" s="23"/>
      <c r="C889" s="49"/>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3"/>
      <c r="B890" s="23"/>
      <c r="C890" s="49"/>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3"/>
      <c r="B891" s="23"/>
      <c r="C891" s="49"/>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3"/>
      <c r="B892" s="23"/>
      <c r="C892" s="49"/>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3"/>
      <c r="B893" s="23"/>
      <c r="C893" s="49"/>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3"/>
      <c r="B894" s="23"/>
      <c r="C894" s="49"/>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3"/>
      <c r="B895" s="23"/>
      <c r="C895" s="49"/>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3"/>
      <c r="B896" s="23"/>
      <c r="C896" s="49"/>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3"/>
      <c r="B897" s="23"/>
      <c r="C897" s="49"/>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3"/>
      <c r="B898" s="23"/>
      <c r="C898" s="49"/>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3"/>
      <c r="B899" s="23"/>
      <c r="C899" s="49"/>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3"/>
      <c r="B900" s="23"/>
      <c r="C900" s="49"/>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3"/>
      <c r="B901" s="23"/>
      <c r="C901" s="49"/>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3"/>
      <c r="B902" s="23"/>
      <c r="C902" s="49"/>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3"/>
      <c r="B903" s="23"/>
      <c r="C903" s="49"/>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3"/>
      <c r="B904" s="23"/>
      <c r="C904" s="49"/>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3"/>
      <c r="B905" s="23"/>
      <c r="C905" s="49"/>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3"/>
      <c r="B906" s="23"/>
      <c r="C906" s="49"/>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3"/>
      <c r="B907" s="23"/>
      <c r="C907" s="49"/>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3"/>
      <c r="B908" s="23"/>
      <c r="C908" s="49"/>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3"/>
      <c r="B909" s="23"/>
      <c r="C909" s="49"/>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3"/>
      <c r="B910" s="23"/>
      <c r="C910" s="49"/>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3"/>
      <c r="B911" s="23"/>
      <c r="C911" s="49"/>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3"/>
      <c r="B912" s="23"/>
      <c r="C912" s="49"/>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3"/>
      <c r="B913" s="23"/>
      <c r="C913" s="49"/>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3"/>
      <c r="B914" s="23"/>
      <c r="C914" s="49"/>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3"/>
      <c r="B915" s="23"/>
      <c r="C915" s="49"/>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3"/>
      <c r="B916" s="23"/>
      <c r="C916" s="49"/>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3"/>
      <c r="B917" s="23"/>
      <c r="C917" s="49"/>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3"/>
      <c r="B918" s="23"/>
      <c r="C918" s="49"/>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3"/>
      <c r="B919" s="23"/>
      <c r="C919" s="49"/>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3"/>
      <c r="B920" s="23"/>
      <c r="C920" s="49"/>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3"/>
      <c r="B921" s="23"/>
      <c r="C921" s="49"/>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3"/>
      <c r="B922" s="23"/>
      <c r="C922" s="49"/>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3"/>
      <c r="B923" s="23"/>
      <c r="C923" s="49"/>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3"/>
      <c r="B924" s="23"/>
      <c r="C924" s="49"/>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3"/>
      <c r="B925" s="23"/>
      <c r="C925" s="49"/>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3"/>
      <c r="B926" s="23"/>
      <c r="C926" s="49"/>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3"/>
      <c r="B927" s="23"/>
      <c r="C927" s="49"/>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3"/>
      <c r="B928" s="23"/>
      <c r="C928" s="49"/>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3"/>
      <c r="B929" s="23"/>
      <c r="C929" s="49"/>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3"/>
      <c r="B930" s="23"/>
      <c r="C930" s="49"/>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3"/>
      <c r="B931" s="23"/>
      <c r="C931" s="49"/>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3"/>
      <c r="B932" s="23"/>
      <c r="C932" s="49"/>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3"/>
      <c r="B933" s="23"/>
      <c r="C933" s="49"/>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3"/>
      <c r="B934" s="23"/>
      <c r="C934" s="49"/>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3"/>
      <c r="B935" s="23"/>
      <c r="C935" s="49"/>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3"/>
      <c r="B936" s="23"/>
      <c r="C936" s="49"/>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3"/>
      <c r="B937" s="23"/>
      <c r="C937" s="49"/>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3"/>
      <c r="B938" s="23"/>
      <c r="C938" s="49"/>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3"/>
      <c r="B939" s="23"/>
      <c r="C939" s="49"/>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3"/>
      <c r="B940" s="23"/>
      <c r="C940" s="49"/>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3"/>
      <c r="B941" s="23"/>
      <c r="C941" s="49"/>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3"/>
      <c r="B942" s="23"/>
      <c r="C942" s="49"/>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3"/>
      <c r="B943" s="23"/>
      <c r="C943" s="49"/>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3"/>
      <c r="B944" s="23"/>
      <c r="C944" s="49"/>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3"/>
      <c r="B945" s="23"/>
      <c r="C945" s="49"/>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3"/>
      <c r="B946" s="23"/>
      <c r="C946" s="49"/>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3"/>
      <c r="B947" s="23"/>
      <c r="C947" s="49"/>
      <c r="D947" s="23"/>
      <c r="E947" s="23"/>
      <c r="F947" s="23"/>
      <c r="G947" s="23"/>
      <c r="H947" s="23"/>
      <c r="I947" s="23"/>
      <c r="J947" s="23"/>
      <c r="K947" s="23"/>
      <c r="L947" s="23"/>
      <c r="M947" s="23"/>
      <c r="N947" s="23"/>
      <c r="O947" s="23"/>
      <c r="P947" s="23"/>
      <c r="Q947" s="23"/>
      <c r="R947" s="23"/>
      <c r="S947" s="23"/>
      <c r="T947" s="23"/>
      <c r="U947" s="23"/>
      <c r="V947" s="23"/>
      <c r="W947" s="23"/>
      <c r="X947" s="23"/>
      <c r="Y947" s="23"/>
    </row>
  </sheetData>
  <conditionalFormatting sqref="D3:E41">
    <cfRule type="containsBlanks" dxfId="5" priority="1">
      <formula>LEN(TRIM(D3))=0</formula>
    </cfRule>
  </conditionalFormatting>
  <conditionalFormatting sqref="D2:E41">
    <cfRule type="colorScale" priority="2">
      <colorScale>
        <cfvo type="min"/>
        <cfvo type="max"/>
        <color rgb="FFFFFFFF"/>
        <color rgb="FF57BB8A"/>
      </colorScale>
    </cfRule>
  </conditionalFormatting>
  <conditionalFormatting sqref="F1:F947">
    <cfRule type="colorScale" priority="3">
      <colorScale>
        <cfvo type="min"/>
        <cfvo type="percentile" val="50"/>
        <cfvo type="max"/>
        <color rgb="FF57BB8A"/>
        <color rgb="FFF4CCCC"/>
        <color rgb="FFE67C73"/>
      </colorScale>
    </cfRule>
  </conditionalFormatting>
  <dataValidations>
    <dataValidation type="custom" allowBlank="1" showDropDown="1" sqref="D2:F42">
      <formula1>AND(ISNUMBER(D2),(NOT(OR(NOT(ISERROR(DATEVALUE(D2))), AND(ISNUMBER(D2), LEFT(CELL("format", D2))="D")))))</formula1>
    </dataValidation>
    <dataValidation type="list" allowBlank="1" showDropDown="1" showErrorMessage="1" sqref="A2:A42">
      <formula1>"PROTECT (PR),DETECT (DE)"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2.13"/>
    <col customWidth="1" min="3" max="3" width="22.63"/>
    <col customWidth="1" min="4" max="4" width="29.75"/>
    <col customWidth="1" min="5" max="5" width="23.0"/>
    <col customWidth="1" min="6" max="6" width="24.25"/>
    <col customWidth="1" min="7" max="7" width="20.13"/>
    <col customWidth="1" min="8" max="8" width="16.5"/>
    <col customWidth="1" min="9" max="9" width="17.5"/>
    <col customWidth="1" min="10" max="10" width="16.63"/>
    <col customWidth="1" min="11" max="11" width="32.38"/>
    <col customWidth="1" min="12" max="12" width="27.63"/>
    <col customWidth="1" min="13" max="13" width="22.0"/>
    <col customWidth="1" min="14" max="14" width="25.38"/>
    <col customWidth="1" min="15" max="15" width="20.63"/>
    <col customWidth="1" min="19" max="19" width="26.13"/>
  </cols>
  <sheetData>
    <row r="1" ht="22.5" customHeight="1">
      <c r="A1" s="6" t="s">
        <v>4</v>
      </c>
      <c r="B1" s="6" t="s">
        <v>10</v>
      </c>
      <c r="C1" s="6" t="s">
        <v>12</v>
      </c>
      <c r="D1" s="6" t="s">
        <v>13</v>
      </c>
      <c r="E1" s="6" t="s">
        <v>16</v>
      </c>
      <c r="F1" s="6" t="s">
        <v>18</v>
      </c>
      <c r="G1" s="6" t="s">
        <v>21</v>
      </c>
      <c r="H1" s="6" t="s">
        <v>24</v>
      </c>
      <c r="I1" s="6" t="s">
        <v>27</v>
      </c>
      <c r="J1" s="6" t="s">
        <v>29</v>
      </c>
      <c r="K1" s="10" t="s">
        <v>31</v>
      </c>
      <c r="L1" s="6" t="s">
        <v>34</v>
      </c>
      <c r="M1" s="10" t="s">
        <v>36</v>
      </c>
      <c r="N1" s="6" t="s">
        <v>38</v>
      </c>
      <c r="O1" s="11" t="s">
        <v>41</v>
      </c>
      <c r="P1" s="11" t="s">
        <v>42</v>
      </c>
      <c r="Q1" s="11" t="s">
        <v>44</v>
      </c>
      <c r="R1" s="11" t="s">
        <v>45</v>
      </c>
      <c r="S1" s="11" t="s">
        <v>48</v>
      </c>
      <c r="T1" s="15"/>
      <c r="U1" s="15"/>
      <c r="V1" s="15"/>
      <c r="W1" s="15"/>
      <c r="X1" s="15"/>
      <c r="Y1" s="15"/>
      <c r="Z1" s="15"/>
      <c r="AA1" s="15"/>
      <c r="AB1" s="15"/>
      <c r="AC1" s="15"/>
      <c r="AD1" s="15"/>
      <c r="AE1" s="15"/>
      <c r="AF1" s="15"/>
    </row>
    <row r="2" ht="22.5" customHeight="1">
      <c r="A2" s="18" t="s">
        <v>58</v>
      </c>
      <c r="B2" s="20" t="s">
        <v>59</v>
      </c>
      <c r="C2" s="20" t="s">
        <v>60</v>
      </c>
      <c r="D2" s="20" t="s">
        <v>61</v>
      </c>
      <c r="E2" s="20" t="s">
        <v>62</v>
      </c>
      <c r="F2" s="20" t="s">
        <v>63</v>
      </c>
      <c r="G2" s="24">
        <v>4.0</v>
      </c>
      <c r="H2" s="24">
        <v>5.0</v>
      </c>
      <c r="I2" s="25">
        <f t="shared" ref="I2:I10" si="1">G2*H2</f>
        <v>20</v>
      </c>
      <c r="J2" s="25" t="str">
        <f t="shared" ref="J2:J10" si="2">IF(I2&gt;=15,"Critical",IF(I2&gt;=10,"High",IF(I2&gt;=5,"Medium","Low")))</f>
        <v>Critical</v>
      </c>
      <c r="K2" s="20" t="s">
        <v>67</v>
      </c>
      <c r="L2" s="20" t="s">
        <v>68</v>
      </c>
      <c r="M2" s="18" t="s">
        <v>69</v>
      </c>
      <c r="N2" s="20" t="s">
        <v>70</v>
      </c>
      <c r="O2" s="20">
        <v>2.0</v>
      </c>
      <c r="P2" s="20">
        <v>3.0</v>
      </c>
      <c r="Q2" s="27">
        <f t="shared" ref="Q2:Q10" si="3">O2*P2</f>
        <v>6</v>
      </c>
      <c r="R2" s="18" t="str">
        <f t="shared" ref="R2:R10" si="4">IF(Q2&gt;=15,"Critical",IF(Q2&gt;=10,"High",IF(Q2&gt;=5,"Medium","Low")))</f>
        <v>Medium</v>
      </c>
      <c r="S2" s="20" t="s">
        <v>74</v>
      </c>
      <c r="T2" s="28"/>
      <c r="U2" s="28"/>
      <c r="V2" s="28"/>
      <c r="W2" s="28"/>
      <c r="X2" s="28"/>
      <c r="Y2" s="28"/>
      <c r="Z2" s="28"/>
      <c r="AA2" s="28"/>
      <c r="AB2" s="28"/>
      <c r="AC2" s="28"/>
      <c r="AD2" s="28"/>
      <c r="AE2" s="28"/>
      <c r="AF2" s="28"/>
    </row>
    <row r="3" ht="22.5" customHeight="1">
      <c r="A3" s="18" t="s">
        <v>75</v>
      </c>
      <c r="B3" s="18" t="s">
        <v>76</v>
      </c>
      <c r="C3" s="18" t="s">
        <v>77</v>
      </c>
      <c r="D3" s="29" t="s">
        <v>78</v>
      </c>
      <c r="E3" s="29" t="s">
        <v>80</v>
      </c>
      <c r="F3" s="18" t="s">
        <v>81</v>
      </c>
      <c r="G3" s="25">
        <v>4.0</v>
      </c>
      <c r="H3" s="25">
        <v>5.0</v>
      </c>
      <c r="I3" s="25">
        <f t="shared" si="1"/>
        <v>20</v>
      </c>
      <c r="J3" s="25" t="str">
        <f t="shared" si="2"/>
        <v>Critical</v>
      </c>
      <c r="K3" s="18" t="s">
        <v>83</v>
      </c>
      <c r="L3" s="18" t="s">
        <v>84</v>
      </c>
      <c r="M3" s="18" t="s">
        <v>69</v>
      </c>
      <c r="N3" s="18" t="s">
        <v>85</v>
      </c>
      <c r="O3" s="18">
        <v>2.0</v>
      </c>
      <c r="P3" s="18">
        <v>3.0</v>
      </c>
      <c r="Q3" s="30">
        <f t="shared" si="3"/>
        <v>6</v>
      </c>
      <c r="R3" s="18" t="str">
        <f t="shared" si="4"/>
        <v>Medium</v>
      </c>
      <c r="S3" s="18" t="s">
        <v>87</v>
      </c>
      <c r="T3" s="31"/>
      <c r="U3" s="31"/>
      <c r="V3" s="31"/>
      <c r="W3" s="31"/>
      <c r="X3" s="31"/>
      <c r="Y3" s="31"/>
      <c r="Z3" s="31"/>
      <c r="AA3" s="31"/>
      <c r="AB3" s="31"/>
      <c r="AC3" s="31"/>
      <c r="AD3" s="31"/>
      <c r="AE3" s="31"/>
      <c r="AF3" s="31"/>
    </row>
    <row r="4" ht="22.5" customHeight="1">
      <c r="A4" s="18" t="s">
        <v>90</v>
      </c>
      <c r="B4" s="18" t="s">
        <v>91</v>
      </c>
      <c r="C4" s="18" t="s">
        <v>92</v>
      </c>
      <c r="D4" s="29" t="s">
        <v>93</v>
      </c>
      <c r="E4" s="18" t="s">
        <v>94</v>
      </c>
      <c r="F4" s="18" t="s">
        <v>95</v>
      </c>
      <c r="G4" s="25">
        <v>4.0</v>
      </c>
      <c r="H4" s="25">
        <v>4.0</v>
      </c>
      <c r="I4" s="25">
        <f t="shared" si="1"/>
        <v>16</v>
      </c>
      <c r="J4" s="25" t="str">
        <f t="shared" si="2"/>
        <v>Critical</v>
      </c>
      <c r="K4" s="18" t="s">
        <v>97</v>
      </c>
      <c r="L4" s="18" t="s">
        <v>100</v>
      </c>
      <c r="M4" s="18" t="s">
        <v>69</v>
      </c>
      <c r="N4" s="18" t="s">
        <v>101</v>
      </c>
      <c r="O4" s="18">
        <v>2.0</v>
      </c>
      <c r="P4" s="18">
        <v>3.0</v>
      </c>
      <c r="Q4" s="30">
        <f t="shared" si="3"/>
        <v>6</v>
      </c>
      <c r="R4" s="18" t="str">
        <f t="shared" si="4"/>
        <v>Medium</v>
      </c>
      <c r="S4" s="18" t="s">
        <v>102</v>
      </c>
      <c r="T4" s="31"/>
      <c r="U4" s="31"/>
      <c r="V4" s="31"/>
      <c r="W4" s="31"/>
      <c r="X4" s="31"/>
      <c r="Y4" s="31"/>
      <c r="Z4" s="31"/>
      <c r="AA4" s="31"/>
      <c r="AB4" s="31"/>
      <c r="AC4" s="31"/>
      <c r="AD4" s="31"/>
      <c r="AE4" s="31"/>
      <c r="AF4" s="31"/>
    </row>
    <row r="5" ht="22.5" customHeight="1">
      <c r="A5" s="18" t="s">
        <v>104</v>
      </c>
      <c r="B5" s="20" t="s">
        <v>105</v>
      </c>
      <c r="C5" s="20" t="s">
        <v>107</v>
      </c>
      <c r="D5" s="20" t="s">
        <v>109</v>
      </c>
      <c r="E5" s="20" t="s">
        <v>110</v>
      </c>
      <c r="F5" s="20" t="s">
        <v>111</v>
      </c>
      <c r="G5" s="24">
        <v>4.0</v>
      </c>
      <c r="H5" s="24">
        <v>4.0</v>
      </c>
      <c r="I5" s="25">
        <f t="shared" si="1"/>
        <v>16</v>
      </c>
      <c r="J5" s="25" t="str">
        <f t="shared" si="2"/>
        <v>Critical</v>
      </c>
      <c r="K5" s="20" t="s">
        <v>112</v>
      </c>
      <c r="L5" s="20" t="s">
        <v>114</v>
      </c>
      <c r="M5" s="18" t="s">
        <v>115</v>
      </c>
      <c r="N5" s="20" t="s">
        <v>116</v>
      </c>
      <c r="O5" s="20">
        <v>2.0</v>
      </c>
      <c r="P5" s="20">
        <v>3.0</v>
      </c>
      <c r="Q5" s="27">
        <f t="shared" si="3"/>
        <v>6</v>
      </c>
      <c r="R5" s="18" t="str">
        <f t="shared" si="4"/>
        <v>Medium</v>
      </c>
      <c r="S5" s="20" t="s">
        <v>117</v>
      </c>
      <c r="T5" s="28"/>
      <c r="U5" s="28"/>
      <c r="V5" s="28"/>
      <c r="W5" s="28"/>
      <c r="X5" s="28"/>
      <c r="Y5" s="28"/>
      <c r="Z5" s="28"/>
      <c r="AA5" s="28"/>
      <c r="AB5" s="28"/>
      <c r="AC5" s="28"/>
      <c r="AD5" s="28"/>
      <c r="AE5" s="28"/>
      <c r="AF5" s="28"/>
    </row>
    <row r="6" ht="22.5" customHeight="1">
      <c r="A6" s="18" t="s">
        <v>118</v>
      </c>
      <c r="B6" s="20" t="s">
        <v>119</v>
      </c>
      <c r="C6" s="20" t="s">
        <v>120</v>
      </c>
      <c r="D6" s="36" t="s">
        <v>121</v>
      </c>
      <c r="E6" s="36" t="s">
        <v>122</v>
      </c>
      <c r="F6" s="20" t="s">
        <v>123</v>
      </c>
      <c r="G6" s="24">
        <v>3.0</v>
      </c>
      <c r="H6" s="24">
        <v>4.0</v>
      </c>
      <c r="I6" s="25">
        <f t="shared" si="1"/>
        <v>12</v>
      </c>
      <c r="J6" s="25" t="str">
        <f t="shared" si="2"/>
        <v>High</v>
      </c>
      <c r="K6" s="20" t="s">
        <v>125</v>
      </c>
      <c r="L6" s="20" t="s">
        <v>127</v>
      </c>
      <c r="M6" s="18" t="s">
        <v>115</v>
      </c>
      <c r="N6" s="20" t="s">
        <v>129</v>
      </c>
      <c r="O6" s="20">
        <v>2.0</v>
      </c>
      <c r="P6" s="20">
        <v>3.0</v>
      </c>
      <c r="Q6" s="27">
        <f t="shared" si="3"/>
        <v>6</v>
      </c>
      <c r="R6" s="18" t="str">
        <f t="shared" si="4"/>
        <v>Medium</v>
      </c>
      <c r="S6" s="20" t="s">
        <v>130</v>
      </c>
      <c r="T6" s="28"/>
      <c r="U6" s="28"/>
      <c r="V6" s="28"/>
      <c r="W6" s="28"/>
      <c r="X6" s="28"/>
      <c r="Y6" s="28"/>
      <c r="Z6" s="28"/>
      <c r="AA6" s="28"/>
      <c r="AB6" s="28"/>
      <c r="AC6" s="28"/>
      <c r="AD6" s="28"/>
      <c r="AE6" s="28"/>
      <c r="AF6" s="28"/>
    </row>
    <row r="7" ht="22.5" customHeight="1">
      <c r="A7" s="18" t="s">
        <v>131</v>
      </c>
      <c r="B7" s="18" t="s">
        <v>132</v>
      </c>
      <c r="C7" s="18" t="s">
        <v>133</v>
      </c>
      <c r="D7" s="29" t="s">
        <v>134</v>
      </c>
      <c r="E7" s="29" t="s">
        <v>136</v>
      </c>
      <c r="F7" s="18" t="s">
        <v>137</v>
      </c>
      <c r="G7" s="25">
        <v>3.0</v>
      </c>
      <c r="H7" s="25">
        <v>4.0</v>
      </c>
      <c r="I7" s="25">
        <f t="shared" si="1"/>
        <v>12</v>
      </c>
      <c r="J7" s="25" t="str">
        <f t="shared" si="2"/>
        <v>High</v>
      </c>
      <c r="K7" s="18" t="s">
        <v>140</v>
      </c>
      <c r="L7" s="18" t="s">
        <v>141</v>
      </c>
      <c r="M7" s="18" t="s">
        <v>69</v>
      </c>
      <c r="N7" s="18" t="s">
        <v>116</v>
      </c>
      <c r="O7" s="18">
        <v>2.0</v>
      </c>
      <c r="P7" s="18">
        <v>3.0</v>
      </c>
      <c r="Q7" s="30">
        <f t="shared" si="3"/>
        <v>6</v>
      </c>
      <c r="R7" s="18" t="str">
        <f t="shared" si="4"/>
        <v>Medium</v>
      </c>
      <c r="S7" s="18" t="s">
        <v>143</v>
      </c>
      <c r="T7" s="31"/>
      <c r="U7" s="31"/>
      <c r="V7" s="31"/>
      <c r="W7" s="31"/>
      <c r="X7" s="31"/>
      <c r="Y7" s="31"/>
      <c r="Z7" s="31"/>
      <c r="AA7" s="31"/>
      <c r="AB7" s="31"/>
      <c r="AC7" s="31"/>
      <c r="AD7" s="31"/>
      <c r="AE7" s="31"/>
      <c r="AF7" s="31"/>
    </row>
    <row r="8" ht="22.5" customHeight="1">
      <c r="A8" s="18" t="s">
        <v>144</v>
      </c>
      <c r="B8" s="18" t="s">
        <v>145</v>
      </c>
      <c r="C8" s="18" t="s">
        <v>146</v>
      </c>
      <c r="D8" s="18" t="s">
        <v>147</v>
      </c>
      <c r="E8" s="18" t="s">
        <v>148</v>
      </c>
      <c r="F8" s="18" t="s">
        <v>149</v>
      </c>
      <c r="G8" s="25">
        <v>2.0</v>
      </c>
      <c r="H8" s="25">
        <v>5.0</v>
      </c>
      <c r="I8" s="25">
        <f t="shared" si="1"/>
        <v>10</v>
      </c>
      <c r="J8" s="25" t="str">
        <f t="shared" si="2"/>
        <v>High</v>
      </c>
      <c r="K8" s="18" t="s">
        <v>151</v>
      </c>
      <c r="L8" s="18" t="s">
        <v>152</v>
      </c>
      <c r="M8" s="18" t="s">
        <v>115</v>
      </c>
      <c r="N8" s="18" t="s">
        <v>101</v>
      </c>
      <c r="O8" s="18">
        <v>1.0</v>
      </c>
      <c r="P8" s="18">
        <v>2.0</v>
      </c>
      <c r="Q8" s="30">
        <f t="shared" si="3"/>
        <v>2</v>
      </c>
      <c r="R8" s="18" t="str">
        <f t="shared" si="4"/>
        <v>Low</v>
      </c>
      <c r="S8" s="18" t="s">
        <v>155</v>
      </c>
      <c r="T8" s="31"/>
      <c r="U8" s="31"/>
      <c r="V8" s="31"/>
      <c r="W8" s="31"/>
      <c r="X8" s="31"/>
      <c r="Y8" s="31"/>
      <c r="Z8" s="31"/>
      <c r="AA8" s="31"/>
      <c r="AB8" s="31"/>
      <c r="AC8" s="31"/>
      <c r="AD8" s="31"/>
      <c r="AE8" s="31"/>
      <c r="AF8" s="31"/>
    </row>
    <row r="9" ht="22.5" customHeight="1">
      <c r="A9" s="18" t="s">
        <v>157</v>
      </c>
      <c r="B9" s="20" t="s">
        <v>158</v>
      </c>
      <c r="C9" s="20" t="s">
        <v>107</v>
      </c>
      <c r="D9" s="20" t="s">
        <v>159</v>
      </c>
      <c r="E9" s="20" t="s">
        <v>160</v>
      </c>
      <c r="F9" s="20" t="s">
        <v>161</v>
      </c>
      <c r="G9" s="24">
        <v>3.0</v>
      </c>
      <c r="H9" s="24">
        <v>3.0</v>
      </c>
      <c r="I9" s="25">
        <f t="shared" si="1"/>
        <v>9</v>
      </c>
      <c r="J9" s="25" t="str">
        <f t="shared" si="2"/>
        <v>Medium</v>
      </c>
      <c r="K9" s="20" t="s">
        <v>164</v>
      </c>
      <c r="L9" s="20" t="s">
        <v>165</v>
      </c>
      <c r="M9" s="18" t="s">
        <v>166</v>
      </c>
      <c r="N9" s="20" t="s">
        <v>101</v>
      </c>
      <c r="O9" s="20">
        <v>2.0</v>
      </c>
      <c r="P9" s="20">
        <v>2.0</v>
      </c>
      <c r="Q9" s="27">
        <f t="shared" si="3"/>
        <v>4</v>
      </c>
      <c r="R9" s="18" t="str">
        <f t="shared" si="4"/>
        <v>Low</v>
      </c>
      <c r="S9" s="37" t="s">
        <v>167</v>
      </c>
      <c r="T9" s="28"/>
      <c r="U9" s="28"/>
      <c r="V9" s="28"/>
      <c r="W9" s="28"/>
      <c r="X9" s="28"/>
      <c r="Y9" s="28"/>
      <c r="Z9" s="28"/>
      <c r="AA9" s="28"/>
      <c r="AB9" s="28"/>
      <c r="AC9" s="28"/>
      <c r="AD9" s="28"/>
      <c r="AE9" s="28"/>
      <c r="AF9" s="28"/>
    </row>
    <row r="10" ht="22.5" customHeight="1">
      <c r="A10" s="18" t="s">
        <v>168</v>
      </c>
      <c r="B10" s="18" t="s">
        <v>169</v>
      </c>
      <c r="C10" s="18" t="s">
        <v>170</v>
      </c>
      <c r="D10" s="18" t="s">
        <v>171</v>
      </c>
      <c r="E10" s="18" t="s">
        <v>172</v>
      </c>
      <c r="F10" s="18" t="s">
        <v>173</v>
      </c>
      <c r="G10" s="25">
        <v>2.0</v>
      </c>
      <c r="H10" s="25">
        <v>4.0</v>
      </c>
      <c r="I10" s="25">
        <f t="shared" si="1"/>
        <v>8</v>
      </c>
      <c r="J10" s="25" t="str">
        <f t="shared" si="2"/>
        <v>Medium</v>
      </c>
      <c r="K10" s="18" t="s">
        <v>175</v>
      </c>
      <c r="L10" s="18" t="s">
        <v>176</v>
      </c>
      <c r="M10" s="18" t="s">
        <v>166</v>
      </c>
      <c r="N10" s="18" t="s">
        <v>129</v>
      </c>
      <c r="O10" s="18">
        <v>1.0</v>
      </c>
      <c r="P10" s="18">
        <v>3.0</v>
      </c>
      <c r="Q10" s="30">
        <f t="shared" si="3"/>
        <v>3</v>
      </c>
      <c r="R10" s="18" t="str">
        <f t="shared" si="4"/>
        <v>Low</v>
      </c>
      <c r="S10" s="37" t="s">
        <v>178</v>
      </c>
      <c r="T10" s="31"/>
      <c r="U10" s="31"/>
      <c r="V10" s="31"/>
      <c r="W10" s="31"/>
      <c r="X10" s="31"/>
      <c r="Y10" s="31"/>
      <c r="Z10" s="31"/>
      <c r="AA10" s="31"/>
      <c r="AB10" s="31"/>
      <c r="AC10" s="31"/>
      <c r="AD10" s="31"/>
      <c r="AE10" s="31"/>
      <c r="AF10" s="31"/>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sheetData>
  <conditionalFormatting sqref="I2:J10">
    <cfRule type="colorScale" priority="1">
      <colorScale>
        <cfvo type="formula" val="1"/>
        <cfvo type="formula" val="25"/>
        <color rgb="FFFFFFFF"/>
        <color rgb="FFE67C73"/>
      </colorScale>
    </cfRule>
  </conditionalFormatting>
  <conditionalFormatting sqref="H2:H10">
    <cfRule type="colorScale" priority="2">
      <colorScale>
        <cfvo type="formula" val="1"/>
        <cfvo type="formula" val="5"/>
        <color rgb="FFFFFFFF"/>
        <color rgb="FFE67C73"/>
      </colorScale>
    </cfRule>
  </conditionalFormatting>
  <conditionalFormatting sqref="G2:G10">
    <cfRule type="colorScale" priority="3">
      <colorScale>
        <cfvo type="formula" val="1"/>
        <cfvo type="max"/>
        <color rgb="FFFFFFFF"/>
        <color rgb="FFE67C73"/>
      </colorScale>
    </cfRule>
  </conditionalFormatting>
  <conditionalFormatting sqref="Q2:Q10">
    <cfRule type="colorScale" priority="4">
      <colorScale>
        <cfvo type="formula" val="2"/>
        <cfvo type="formula" val="25"/>
        <color rgb="FFFFFFFF"/>
        <color rgb="FFE67C73"/>
      </colorScale>
    </cfRule>
  </conditionalFormatting>
  <conditionalFormatting sqref="N2:P10">
    <cfRule type="colorScale" priority="5">
      <colorScale>
        <cfvo type="formula" val="1"/>
        <cfvo type="formula" val="5"/>
        <color rgb="FFFFFFFF"/>
        <color rgb="FFE67C73"/>
      </colorScale>
    </cfRule>
  </conditionalFormatting>
  <dataValidations>
    <dataValidation type="custom" allowBlank="1" showDropDown="1" sqref="G2:I10">
      <formula1>AND(ISNUMBER(G2),(NOT(OR(NOT(ISERROR(DATEVALUE(G2))), AND(ISNUMBER(G2), LEFT(CELL("format", G2))="D")))))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2.0"/>
  </cols>
  <sheetData>
    <row r="1">
      <c r="A1" s="2" t="s">
        <v>1</v>
      </c>
      <c r="B1" s="2" t="s">
        <v>2</v>
      </c>
      <c r="C1" s="3"/>
      <c r="D1" s="3"/>
      <c r="E1" s="3"/>
      <c r="F1" s="3"/>
      <c r="G1" s="3"/>
      <c r="H1" s="3"/>
      <c r="I1" s="3"/>
      <c r="J1" s="3"/>
      <c r="K1" s="3"/>
      <c r="L1" s="3"/>
      <c r="M1" s="3"/>
      <c r="N1" s="3"/>
      <c r="O1" s="3"/>
      <c r="P1" s="3"/>
      <c r="Q1" s="3"/>
      <c r="R1" s="3"/>
      <c r="S1" s="3"/>
      <c r="T1" s="3"/>
      <c r="U1" s="3"/>
      <c r="V1" s="3"/>
      <c r="W1" s="3"/>
      <c r="X1" s="3"/>
      <c r="Y1" s="3"/>
      <c r="Z1" s="3"/>
    </row>
    <row r="2">
      <c r="A2" s="4">
        <v>1.0</v>
      </c>
      <c r="B2" s="4" t="s">
        <v>5</v>
      </c>
      <c r="C2" s="3"/>
      <c r="D2" s="3"/>
      <c r="E2" s="3"/>
      <c r="F2" s="3"/>
      <c r="G2" s="3"/>
      <c r="H2" s="3"/>
      <c r="I2" s="3"/>
      <c r="J2" s="3"/>
      <c r="K2" s="3"/>
      <c r="L2" s="3"/>
      <c r="M2" s="3"/>
      <c r="N2" s="3"/>
      <c r="O2" s="3"/>
      <c r="P2" s="3"/>
      <c r="Q2" s="3"/>
      <c r="R2" s="3"/>
      <c r="S2" s="3"/>
      <c r="T2" s="3"/>
      <c r="U2" s="3"/>
      <c r="V2" s="3"/>
      <c r="W2" s="3"/>
      <c r="X2" s="3"/>
      <c r="Y2" s="3"/>
      <c r="Z2" s="3"/>
    </row>
    <row r="3">
      <c r="A3" s="4">
        <v>2.0</v>
      </c>
      <c r="B3" s="4" t="s">
        <v>6</v>
      </c>
      <c r="C3" s="3"/>
      <c r="D3" s="3"/>
      <c r="E3" s="3"/>
      <c r="F3" s="3"/>
      <c r="G3" s="3"/>
      <c r="H3" s="3"/>
      <c r="I3" s="3"/>
      <c r="J3" s="3"/>
      <c r="K3" s="3"/>
      <c r="L3" s="3"/>
      <c r="M3" s="3"/>
      <c r="N3" s="3"/>
      <c r="O3" s="3"/>
      <c r="P3" s="3"/>
      <c r="Q3" s="3"/>
      <c r="R3" s="3"/>
      <c r="S3" s="3"/>
      <c r="T3" s="3"/>
      <c r="U3" s="3"/>
      <c r="V3" s="3"/>
      <c r="W3" s="3"/>
      <c r="X3" s="3"/>
      <c r="Y3" s="3"/>
      <c r="Z3" s="3"/>
    </row>
    <row r="4">
      <c r="A4" s="4">
        <v>3.0</v>
      </c>
      <c r="B4" s="4" t="s">
        <v>7</v>
      </c>
      <c r="C4" s="3"/>
      <c r="D4" s="3"/>
      <c r="E4" s="3"/>
      <c r="F4" s="3"/>
      <c r="G4" s="3"/>
      <c r="H4" s="3"/>
      <c r="I4" s="3"/>
      <c r="J4" s="3"/>
      <c r="K4" s="3"/>
      <c r="L4" s="3"/>
      <c r="M4" s="3"/>
      <c r="N4" s="3"/>
      <c r="O4" s="3"/>
      <c r="P4" s="3"/>
      <c r="Q4" s="3"/>
      <c r="R4" s="3"/>
      <c r="S4" s="3"/>
      <c r="T4" s="3"/>
      <c r="U4" s="3"/>
      <c r="V4" s="3"/>
      <c r="W4" s="3"/>
      <c r="X4" s="3"/>
      <c r="Y4" s="3"/>
      <c r="Z4" s="3"/>
    </row>
    <row r="5">
      <c r="A5" s="4">
        <v>4.0</v>
      </c>
      <c r="B5" s="4" t="s">
        <v>8</v>
      </c>
      <c r="C5" s="3"/>
      <c r="D5" s="3"/>
      <c r="E5" s="3"/>
      <c r="F5" s="3"/>
      <c r="G5" s="3"/>
      <c r="H5" s="3"/>
      <c r="I5" s="3"/>
      <c r="J5" s="3"/>
      <c r="K5" s="3"/>
      <c r="L5" s="3"/>
      <c r="M5" s="3"/>
      <c r="N5" s="3"/>
      <c r="O5" s="3"/>
      <c r="P5" s="3"/>
      <c r="Q5" s="3"/>
      <c r="R5" s="3"/>
      <c r="S5" s="3"/>
      <c r="T5" s="3"/>
      <c r="U5" s="3"/>
      <c r="V5" s="3"/>
      <c r="W5" s="3"/>
      <c r="X5" s="3"/>
      <c r="Y5" s="3"/>
      <c r="Z5" s="3"/>
    </row>
    <row r="6">
      <c r="A6" s="7"/>
      <c r="B6" s="7"/>
      <c r="C6" s="3"/>
      <c r="D6" s="3"/>
      <c r="E6" s="3"/>
      <c r="F6" s="3"/>
      <c r="G6" s="3"/>
      <c r="H6" s="3"/>
      <c r="I6" s="3"/>
      <c r="J6" s="3"/>
      <c r="K6" s="3"/>
      <c r="L6" s="3"/>
      <c r="M6" s="3"/>
      <c r="N6" s="3"/>
      <c r="O6" s="3"/>
      <c r="P6" s="3"/>
      <c r="Q6" s="3"/>
      <c r="R6" s="3"/>
      <c r="S6" s="3"/>
      <c r="T6" s="3"/>
      <c r="U6" s="3"/>
      <c r="V6" s="3"/>
      <c r="W6" s="3"/>
      <c r="X6" s="3"/>
      <c r="Y6" s="3"/>
      <c r="Z6" s="3"/>
    </row>
    <row r="7">
      <c r="A7" s="2" t="s">
        <v>15</v>
      </c>
      <c r="B7" s="2" t="s">
        <v>2</v>
      </c>
      <c r="C7" s="3"/>
      <c r="D7" s="3"/>
      <c r="E7" s="3"/>
      <c r="F7" s="3"/>
      <c r="G7" s="3"/>
      <c r="H7" s="3"/>
      <c r="I7" s="3"/>
      <c r="J7" s="3"/>
      <c r="K7" s="3"/>
      <c r="L7" s="3"/>
      <c r="M7" s="3"/>
      <c r="N7" s="3"/>
      <c r="O7" s="3"/>
      <c r="P7" s="3"/>
      <c r="Q7" s="3"/>
      <c r="R7" s="3"/>
      <c r="S7" s="3"/>
      <c r="T7" s="3"/>
      <c r="U7" s="3"/>
      <c r="V7" s="3"/>
      <c r="W7" s="3"/>
      <c r="X7" s="3"/>
      <c r="Y7" s="3"/>
      <c r="Z7" s="3"/>
    </row>
    <row r="8">
      <c r="A8" s="4">
        <v>1.0</v>
      </c>
      <c r="B8" s="4" t="s">
        <v>17</v>
      </c>
      <c r="C8" s="3"/>
      <c r="D8" s="3"/>
      <c r="E8" s="3"/>
      <c r="F8" s="3"/>
      <c r="G8" s="3"/>
      <c r="H8" s="3"/>
      <c r="I8" s="3"/>
      <c r="J8" s="3"/>
      <c r="K8" s="3"/>
      <c r="L8" s="3"/>
      <c r="M8" s="3"/>
      <c r="N8" s="3"/>
      <c r="O8" s="3"/>
      <c r="P8" s="3"/>
      <c r="Q8" s="3"/>
      <c r="R8" s="3"/>
      <c r="S8" s="3"/>
      <c r="T8" s="3"/>
      <c r="U8" s="3"/>
      <c r="V8" s="3"/>
      <c r="W8" s="3"/>
      <c r="X8" s="3"/>
      <c r="Y8" s="3"/>
      <c r="Z8" s="3"/>
    </row>
    <row r="9">
      <c r="A9" s="4">
        <v>2.0</v>
      </c>
      <c r="B9" s="4" t="s">
        <v>19</v>
      </c>
      <c r="C9" s="3"/>
      <c r="D9" s="3"/>
      <c r="E9" s="3"/>
      <c r="F9" s="3"/>
      <c r="G9" s="3"/>
      <c r="H9" s="3"/>
      <c r="I9" s="3"/>
      <c r="J9" s="3"/>
      <c r="K9" s="3"/>
      <c r="L9" s="3"/>
      <c r="M9" s="3"/>
      <c r="N9" s="3"/>
      <c r="O9" s="3"/>
      <c r="P9" s="3"/>
      <c r="Q9" s="3"/>
      <c r="R9" s="3"/>
      <c r="S9" s="3"/>
      <c r="T9" s="3"/>
      <c r="U9" s="3"/>
      <c r="V9" s="3"/>
      <c r="W9" s="3"/>
      <c r="X9" s="3"/>
      <c r="Y9" s="3"/>
      <c r="Z9" s="3"/>
    </row>
    <row r="10">
      <c r="A10" s="4">
        <v>3.0</v>
      </c>
      <c r="B10" s="4" t="s">
        <v>23</v>
      </c>
      <c r="C10" s="3"/>
      <c r="D10" s="3"/>
      <c r="E10" s="3"/>
      <c r="F10" s="3"/>
      <c r="G10" s="3"/>
      <c r="H10" s="3"/>
      <c r="I10" s="3"/>
      <c r="J10" s="3"/>
      <c r="K10" s="3"/>
      <c r="L10" s="3"/>
      <c r="M10" s="3"/>
      <c r="N10" s="3"/>
      <c r="O10" s="3"/>
      <c r="P10" s="3"/>
      <c r="Q10" s="3"/>
      <c r="R10" s="3"/>
      <c r="S10" s="3"/>
      <c r="T10" s="3"/>
      <c r="U10" s="3"/>
      <c r="V10" s="3"/>
      <c r="W10" s="3"/>
      <c r="X10" s="3"/>
      <c r="Y10" s="3"/>
      <c r="Z10" s="3"/>
    </row>
    <row r="11">
      <c r="A11" s="4">
        <v>4.0</v>
      </c>
      <c r="B11" s="4" t="s">
        <v>26</v>
      </c>
      <c r="C11" s="3"/>
      <c r="D11" s="3"/>
      <c r="E11" s="3"/>
      <c r="F11" s="3"/>
      <c r="G11" s="3"/>
      <c r="H11" s="3"/>
      <c r="I11" s="3"/>
      <c r="J11" s="3"/>
      <c r="K11" s="3"/>
      <c r="L11" s="3"/>
      <c r="M11" s="3"/>
      <c r="N11" s="3"/>
      <c r="O11" s="3"/>
      <c r="P11" s="3"/>
      <c r="Q11" s="3"/>
      <c r="R11" s="3"/>
      <c r="S11" s="3"/>
      <c r="T11" s="3"/>
      <c r="U11" s="3"/>
      <c r="V11" s="3"/>
      <c r="W11" s="3"/>
      <c r="X11" s="3"/>
      <c r="Y11" s="3"/>
      <c r="Z11" s="3"/>
    </row>
    <row r="12">
      <c r="A12" s="4">
        <v>5.0</v>
      </c>
      <c r="B12" s="4" t="s">
        <v>28</v>
      </c>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2" t="s">
        <v>32</v>
      </c>
      <c r="B14" s="2" t="s">
        <v>2</v>
      </c>
      <c r="C14" s="3"/>
      <c r="D14" s="3"/>
      <c r="E14" s="3"/>
      <c r="F14" s="3"/>
      <c r="G14" s="3"/>
      <c r="H14" s="3"/>
      <c r="I14" s="3"/>
      <c r="J14" s="3"/>
      <c r="K14" s="3"/>
      <c r="L14" s="3"/>
      <c r="M14" s="3"/>
      <c r="N14" s="3"/>
      <c r="O14" s="3"/>
      <c r="P14" s="3"/>
      <c r="Q14" s="3"/>
      <c r="R14" s="3"/>
      <c r="S14" s="3"/>
      <c r="T14" s="3"/>
      <c r="U14" s="3"/>
      <c r="V14" s="3"/>
      <c r="W14" s="3"/>
      <c r="X14" s="3"/>
      <c r="Y14" s="3"/>
      <c r="Z14" s="3"/>
    </row>
    <row r="15">
      <c r="A15" s="4">
        <v>1.0</v>
      </c>
      <c r="B15" s="4" t="s">
        <v>33</v>
      </c>
      <c r="C15" s="3"/>
      <c r="D15" s="3"/>
      <c r="E15" s="3"/>
      <c r="F15" s="3"/>
      <c r="G15" s="3"/>
      <c r="H15" s="3"/>
      <c r="I15" s="3"/>
      <c r="J15" s="3"/>
      <c r="K15" s="3"/>
      <c r="L15" s="3"/>
      <c r="M15" s="3"/>
      <c r="N15" s="3"/>
      <c r="O15" s="3"/>
      <c r="P15" s="3"/>
      <c r="Q15" s="3"/>
      <c r="R15" s="3"/>
      <c r="S15" s="3"/>
      <c r="T15" s="3"/>
      <c r="U15" s="3"/>
      <c r="V15" s="3"/>
      <c r="W15" s="3"/>
      <c r="X15" s="3"/>
      <c r="Y15" s="3"/>
      <c r="Z15" s="3"/>
    </row>
    <row r="16">
      <c r="A16" s="4">
        <v>2.0</v>
      </c>
      <c r="B16" s="4" t="s">
        <v>35</v>
      </c>
      <c r="C16" s="3"/>
      <c r="D16" s="3"/>
      <c r="E16" s="3"/>
      <c r="F16" s="3"/>
      <c r="G16" s="3"/>
      <c r="H16" s="3"/>
      <c r="I16" s="3"/>
      <c r="J16" s="3"/>
      <c r="K16" s="3"/>
      <c r="L16" s="3"/>
      <c r="M16" s="3"/>
      <c r="N16" s="3"/>
      <c r="O16" s="3"/>
      <c r="P16" s="3"/>
      <c r="Q16" s="3"/>
      <c r="R16" s="3"/>
      <c r="S16" s="3"/>
      <c r="T16" s="3"/>
      <c r="U16" s="3"/>
      <c r="V16" s="3"/>
      <c r="W16" s="3"/>
      <c r="X16" s="3"/>
      <c r="Y16" s="3"/>
      <c r="Z16" s="3"/>
    </row>
    <row r="17">
      <c r="A17" s="4">
        <v>3.0</v>
      </c>
      <c r="B17" s="4" t="s">
        <v>37</v>
      </c>
      <c r="C17" s="3"/>
      <c r="D17" s="3"/>
      <c r="E17" s="3"/>
      <c r="F17" s="3"/>
      <c r="G17" s="3"/>
      <c r="H17" s="3"/>
      <c r="I17" s="3"/>
      <c r="J17" s="3"/>
      <c r="K17" s="3"/>
      <c r="L17" s="3"/>
      <c r="M17" s="3"/>
      <c r="N17" s="3"/>
      <c r="O17" s="3"/>
      <c r="P17" s="3"/>
      <c r="Q17" s="3"/>
      <c r="R17" s="3"/>
      <c r="S17" s="3"/>
      <c r="T17" s="3"/>
      <c r="U17" s="3"/>
      <c r="V17" s="3"/>
      <c r="W17" s="3"/>
      <c r="X17" s="3"/>
      <c r="Y17" s="3"/>
      <c r="Z17" s="3"/>
    </row>
    <row r="18">
      <c r="A18" s="4">
        <v>4.0</v>
      </c>
      <c r="B18" s="4" t="s">
        <v>40</v>
      </c>
      <c r="C18" s="3"/>
      <c r="D18" s="3"/>
      <c r="E18" s="3"/>
      <c r="F18" s="3"/>
      <c r="G18" s="3"/>
      <c r="H18" s="3"/>
      <c r="I18" s="3"/>
      <c r="J18" s="3"/>
      <c r="K18" s="3"/>
      <c r="L18" s="3"/>
      <c r="M18" s="3"/>
      <c r="N18" s="3"/>
      <c r="O18" s="3"/>
      <c r="P18" s="3"/>
      <c r="Q18" s="3"/>
      <c r="R18" s="3"/>
      <c r="S18" s="3"/>
      <c r="T18" s="3"/>
      <c r="U18" s="3"/>
      <c r="V18" s="3"/>
      <c r="W18" s="3"/>
      <c r="X18" s="3"/>
      <c r="Y18" s="3"/>
      <c r="Z18" s="3"/>
    </row>
    <row r="19">
      <c r="A19" s="4">
        <v>5.0</v>
      </c>
      <c r="B19" s="4" t="s">
        <v>43</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2" t="s">
        <v>46</v>
      </c>
      <c r="B21" s="2" t="s">
        <v>47</v>
      </c>
      <c r="C21" s="3"/>
      <c r="D21" s="3"/>
      <c r="E21" s="3"/>
      <c r="F21" s="3"/>
      <c r="G21" s="3"/>
      <c r="H21" s="3"/>
      <c r="I21" s="3"/>
      <c r="J21" s="3"/>
      <c r="K21" s="3"/>
      <c r="L21" s="3"/>
      <c r="M21" s="3"/>
      <c r="N21" s="3"/>
      <c r="O21" s="3"/>
      <c r="P21" s="3"/>
      <c r="Q21" s="3"/>
      <c r="R21" s="3"/>
      <c r="S21" s="3"/>
      <c r="T21" s="3"/>
      <c r="U21" s="3"/>
      <c r="V21" s="3"/>
      <c r="W21" s="3"/>
      <c r="X21" s="3"/>
      <c r="Y21" s="3"/>
      <c r="Z21" s="3"/>
    </row>
    <row r="22">
      <c r="A22" s="13" t="s">
        <v>50</v>
      </c>
      <c r="B22" s="4" t="s">
        <v>51</v>
      </c>
      <c r="C22" s="3"/>
      <c r="D22" s="3"/>
      <c r="E22" s="3"/>
      <c r="F22" s="3"/>
      <c r="G22" s="3"/>
      <c r="H22" s="3"/>
      <c r="I22" s="3"/>
      <c r="J22" s="3"/>
      <c r="K22" s="3"/>
      <c r="L22" s="3"/>
      <c r="M22" s="3"/>
      <c r="N22" s="3"/>
      <c r="O22" s="3"/>
      <c r="P22" s="3"/>
      <c r="Q22" s="3"/>
      <c r="R22" s="3"/>
      <c r="S22" s="3"/>
      <c r="T22" s="3"/>
      <c r="U22" s="3"/>
      <c r="V22" s="3"/>
      <c r="W22" s="3"/>
      <c r="X22" s="3"/>
      <c r="Y22" s="3"/>
      <c r="Z22" s="3"/>
    </row>
    <row r="23">
      <c r="A23" s="13" t="s">
        <v>52</v>
      </c>
      <c r="B23" s="4" t="s">
        <v>53</v>
      </c>
      <c r="C23" s="3"/>
      <c r="D23" s="3"/>
      <c r="E23" s="3"/>
      <c r="F23" s="3"/>
      <c r="G23" s="3"/>
      <c r="H23" s="3"/>
      <c r="I23" s="3"/>
      <c r="J23" s="3"/>
      <c r="K23" s="3"/>
      <c r="L23" s="3"/>
      <c r="M23" s="3"/>
      <c r="N23" s="3"/>
      <c r="O23" s="3"/>
      <c r="P23" s="3"/>
      <c r="Q23" s="3"/>
      <c r="R23" s="3"/>
      <c r="S23" s="3"/>
      <c r="T23" s="3"/>
      <c r="U23" s="3"/>
      <c r="V23" s="3"/>
      <c r="W23" s="3"/>
      <c r="X23" s="3"/>
      <c r="Y23" s="3"/>
      <c r="Z23" s="3"/>
    </row>
    <row r="24">
      <c r="A24" s="13" t="s">
        <v>54</v>
      </c>
      <c r="B24" s="4" t="s">
        <v>55</v>
      </c>
      <c r="C24" s="3"/>
      <c r="D24" s="3"/>
      <c r="E24" s="3"/>
      <c r="F24" s="3"/>
      <c r="G24" s="3"/>
      <c r="H24" s="3"/>
      <c r="I24" s="3"/>
      <c r="J24" s="3"/>
      <c r="K24" s="3"/>
      <c r="L24" s="3"/>
      <c r="M24" s="3"/>
      <c r="N24" s="3"/>
      <c r="O24" s="3"/>
      <c r="P24" s="3"/>
      <c r="Q24" s="3"/>
      <c r="R24" s="3"/>
      <c r="S24" s="3"/>
      <c r="T24" s="3"/>
      <c r="U24" s="3"/>
      <c r="V24" s="3"/>
      <c r="W24" s="3"/>
      <c r="X24" s="3"/>
      <c r="Y24" s="3"/>
      <c r="Z24" s="3"/>
    </row>
    <row r="25">
      <c r="A25" s="13" t="s">
        <v>56</v>
      </c>
      <c r="B25" s="4" t="s">
        <v>57</v>
      </c>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drawing r:id="rId1"/>
</worksheet>
</file>